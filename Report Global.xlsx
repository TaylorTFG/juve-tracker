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overlog365-my.sharepoint.com/personal/mrocchetto_over-log_it/Documents/Documenti/"/>
    </mc:Choice>
  </mc:AlternateContent>
  <xr:revisionPtr revIDLastSave="1530" documentId="8_{61F84FDE-BFDC-49E3-BF84-ECF57259110B}" xr6:coauthVersionLast="47" xr6:coauthVersionMax="47" xr10:uidLastSave="{E540B967-4AA4-40AF-802C-4BFAC2611307}"/>
  <bookViews>
    <workbookView xWindow="-105" yWindow="0" windowWidth="19410" windowHeight="20985" tabRatio="689" firstSheet="2" activeTab="7" xr2:uid="{88F8EE73-B0BC-46B8-A480-8EFBC5591B9A}"/>
  </bookViews>
  <sheets>
    <sheet name="GSLM 11-2025" sheetId="2" r:id="rId1"/>
    <sheet name="GSLS 03-2025" sheetId="1" r:id="rId2"/>
    <sheet name="GSLS 05-2024" sheetId="3" r:id="rId3"/>
    <sheet name="GSLM 11-2024" sheetId="4" r:id="rId4"/>
    <sheet name="GSLS 03-2023" sheetId="5" r:id="rId5"/>
    <sheet name="GSLM 11-2023" sheetId="6" r:id="rId6"/>
    <sheet name="GSLM 11-2022" sheetId="7" r:id="rId7"/>
    <sheet name="UNIONE" sheetId="8" r:id="rId8"/>
  </sheets>
  <definedNames>
    <definedName name="_xlnm._FilterDatabase" localSheetId="6" hidden="1">'GSLM 11-2022'!$A$1:$E$176</definedName>
    <definedName name="_xlnm._FilterDatabase" localSheetId="5" hidden="1">'GSLM 11-2023'!$A$1:$D$197</definedName>
    <definedName name="_xlnm._FilterDatabase" localSheetId="3" hidden="1">'GSLM 11-2024'!$A$1:$D$1</definedName>
    <definedName name="_xlnm._FilterDatabase" localSheetId="0" hidden="1">'GSLM 11-2025'!$A$1:$D$125</definedName>
    <definedName name="_xlnm._FilterDatabase" localSheetId="4" hidden="1">'GSLS 03-2023'!$A$1:$D$1</definedName>
    <definedName name="_xlnm._FilterDatabase" localSheetId="1" hidden="1">'GSLS 03-2025'!$A$1:$E$196</definedName>
    <definedName name="_xlnm._FilterDatabase" localSheetId="2" hidden="1">'GSLS 05-2024'!$A$1:$D$168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  <pivotCache cacheId="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8" l="1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3" i="8"/>
  <c r="B4" i="8"/>
  <c r="B5" i="8"/>
  <c r="B6" i="8"/>
  <c r="B7" i="8"/>
  <c r="B8" i="8"/>
  <c r="B2" i="8"/>
  <c r="C169" i="3"/>
  <c r="D169" i="3"/>
  <c r="B169" i="3"/>
</calcChain>
</file>

<file path=xl/sharedStrings.xml><?xml version="1.0" encoding="utf-8"?>
<sst xmlns="http://schemas.openxmlformats.org/spreadsheetml/2006/main" count="1930" uniqueCount="768">
  <si>
    <t>SELEZIONATA</t>
  </si>
  <si>
    <t>INCONTRATA</t>
  </si>
  <si>
    <t>A&amp;T Europe Spa</t>
  </si>
  <si>
    <t>Alis - Casa Rinaldi</t>
  </si>
  <si>
    <t>Alupak Italia</t>
  </si>
  <si>
    <t>Angiodroid SpA</t>
  </si>
  <si>
    <t>BasicNet Spa</t>
  </si>
  <si>
    <t>Bericah Spa</t>
  </si>
  <si>
    <t>Box Marche Spa</t>
  </si>
  <si>
    <t>Bubola &amp; Naibo</t>
  </si>
  <si>
    <t>Cambielli Spa</t>
  </si>
  <si>
    <t>Cantine Giacomo Montresor Spa</t>
  </si>
  <si>
    <t>Casa del cuscinetto Srl</t>
  </si>
  <si>
    <t>Ccm - Coop Cartai Modenese</t>
  </si>
  <si>
    <t>Chromavis</t>
  </si>
  <si>
    <t>Cnh Modena S. Matteo</t>
  </si>
  <si>
    <t>Coind</t>
  </si>
  <si>
    <t>Conslog srl</t>
  </si>
  <si>
    <t>Consorzio Lcs</t>
  </si>
  <si>
    <t>Coseco Industrie Group srl</t>
  </si>
  <si>
    <t>Cozzolino srl</t>
  </si>
  <si>
    <t>Custom Sales srl</t>
  </si>
  <si>
    <t>Dallai Ernesto srl</t>
  </si>
  <si>
    <t>Digital Boite srl</t>
  </si>
  <si>
    <t>Ecoplast srl</t>
  </si>
  <si>
    <t>Eih Logistics</t>
  </si>
  <si>
    <t>Ewo gmbh</t>
  </si>
  <si>
    <t>Fileni</t>
  </si>
  <si>
    <t>Fontanella Bevande srl</t>
  </si>
  <si>
    <t>Ge Vernova</t>
  </si>
  <si>
    <t>Gewiss</t>
  </si>
  <si>
    <t>Glop srl</t>
  </si>
  <si>
    <t>Htd Medical</t>
  </si>
  <si>
    <t>Interpump Group Spa</t>
  </si>
  <si>
    <t>Italtrade Group srl</t>
  </si>
  <si>
    <t>Lowara Srl</t>
  </si>
  <si>
    <t>Maie Spa</t>
  </si>
  <si>
    <t xml:space="preserve">Marchiol spa </t>
  </si>
  <si>
    <t>Mectron Spa</t>
  </si>
  <si>
    <t>Meda Pharma</t>
  </si>
  <si>
    <t>Minardi Industries srl</t>
  </si>
  <si>
    <t>Paglieri Spa</t>
  </si>
  <si>
    <t>Sacer-Uliana Luciano srl</t>
  </si>
  <si>
    <t>Smartfuture</t>
  </si>
  <si>
    <t>Spin srl</t>
  </si>
  <si>
    <t>Stl Imballaggi srl</t>
  </si>
  <si>
    <t>Tecniplast Spa</t>
  </si>
  <si>
    <t>Tek Group</t>
  </si>
  <si>
    <t>Transadriatico Soc. Coop.</t>
  </si>
  <si>
    <t>Trigano Van srl</t>
  </si>
  <si>
    <t>Vipa Spa</t>
  </si>
  <si>
    <t>Carapelli Firenze Spa</t>
  </si>
  <si>
    <t>Societa</t>
  </si>
  <si>
    <t>Abgroup srl</t>
  </si>
  <si>
    <t>Ala Spa</t>
  </si>
  <si>
    <t>ArtCosmetics Srl</t>
  </si>
  <si>
    <t>Astori Spa</t>
  </si>
  <si>
    <t>Berardi Bullonerie srl</t>
  </si>
  <si>
    <t>Conserve Italia Coop Agricola r.l.</t>
  </si>
  <si>
    <t>Coopservice</t>
  </si>
  <si>
    <t>Coster Tecnologie Speciali Spa</t>
  </si>
  <si>
    <t>Dbd BricoCasa</t>
  </si>
  <si>
    <t>Deodato srl</t>
  </si>
  <si>
    <t>Dolciaria Acquaviva SpA</t>
  </si>
  <si>
    <t>Elphis sas</t>
  </si>
  <si>
    <t>Ems Italia srl</t>
  </si>
  <si>
    <t>Epta Spa</t>
  </si>
  <si>
    <t>Fassa srl</t>
  </si>
  <si>
    <t>Fraschetti Spa</t>
  </si>
  <si>
    <t>Garofoli Spa</t>
  </si>
  <si>
    <t>General Trade Spa</t>
  </si>
  <si>
    <t>Greiner Bio-One Italia srl</t>
  </si>
  <si>
    <t>Hitachi Rail sts</t>
  </si>
  <si>
    <t>Iris Mobili srl - Mondo Convenienza</t>
  </si>
  <si>
    <t>Leonardo Spa - Difesa / Aerospazio</t>
  </si>
  <si>
    <t>Magirus Italia</t>
  </si>
  <si>
    <t>Martinelli Ginetto Spa</t>
  </si>
  <si>
    <t>Mi.La. Trasporti</t>
  </si>
  <si>
    <t>Mic Spa - Manifattura Italiana Cucirini</t>
  </si>
  <si>
    <t>Multilog Spa</t>
  </si>
  <si>
    <t>Norauto Italia Spa</t>
  </si>
  <si>
    <t>PL World srl</t>
  </si>
  <si>
    <t>Ppg Business Support srl</t>
  </si>
  <si>
    <t>Proced srl</t>
  </si>
  <si>
    <t>Raccorderie Metalliche Spa</t>
  </si>
  <si>
    <t>Relevi Spa</t>
  </si>
  <si>
    <t>Saint Gobain Glass Italia Spa</t>
  </si>
  <si>
    <t>Sea Vision</t>
  </si>
  <si>
    <t>Semenzin Trasporti e Logistica</t>
  </si>
  <si>
    <t>Silikomart srl</t>
  </si>
  <si>
    <t xml:space="preserve">Snatt Logistica Spa </t>
  </si>
  <si>
    <t>So.Na.D. srl</t>
  </si>
  <si>
    <t>Solenis italia</t>
  </si>
  <si>
    <t>Stones srl</t>
  </si>
  <si>
    <t>SuperJet International Spa</t>
  </si>
  <si>
    <t>Teco Spa</t>
  </si>
  <si>
    <t>Vhit Spa</t>
  </si>
  <si>
    <t>Wittur Spa</t>
  </si>
  <si>
    <t>Società</t>
  </si>
  <si>
    <t>Alpinestars Spa</t>
  </si>
  <si>
    <t>Amiu Genova Spa</t>
  </si>
  <si>
    <t>Andreas Stihl Spa</t>
  </si>
  <si>
    <t>Antonio Capaldo SpA</t>
  </si>
  <si>
    <t>Argea</t>
  </si>
  <si>
    <t>Bm Barbiero &amp; Minotti srl</t>
  </si>
  <si>
    <t>Brembo NV</t>
  </si>
  <si>
    <t>Cantina Tollo sca</t>
  </si>
  <si>
    <t xml:space="preserve">Carcano Trasporti Spa </t>
  </si>
  <si>
    <t>Cdf Centro Distribuzione del Farmaco Spa</t>
  </si>
  <si>
    <t>Centrale del Latte di Roma</t>
  </si>
  <si>
    <t>Conad Nord Ovest</t>
  </si>
  <si>
    <t>Corplast srl</t>
  </si>
  <si>
    <t>Dakota Group sas</t>
  </si>
  <si>
    <t>Douglas Chero SpA</t>
  </si>
  <si>
    <t>Dual Sanitaly Spa</t>
  </si>
  <si>
    <t>Ed&amp;F Man</t>
  </si>
  <si>
    <t>Europrosan Spa</t>
  </si>
  <si>
    <t>Eurovetrocap Spa</t>
  </si>
  <si>
    <t>Extrema srl</t>
  </si>
  <si>
    <t>Fabbrica Italiana Sintetici Spa</t>
  </si>
  <si>
    <t>Farvima Medicinali Spa</t>
  </si>
  <si>
    <t>Fepa Spa</t>
  </si>
  <si>
    <t>Flodraulic Europe</t>
  </si>
  <si>
    <t>Foma Spa</t>
  </si>
  <si>
    <t>Fratelli Polli srl</t>
  </si>
  <si>
    <t>Ft System srl</t>
  </si>
  <si>
    <t>Galdi srl</t>
  </si>
  <si>
    <t>Giobert Spa</t>
  </si>
  <si>
    <t>Giorgetti SpA</t>
  </si>
  <si>
    <t>Gruppo Antonini Spa</t>
  </si>
  <si>
    <t>Helicopters Italia</t>
  </si>
  <si>
    <t>La Montanara srl</t>
  </si>
  <si>
    <t>Lago Group Spa</t>
  </si>
  <si>
    <t>Laica SpA</t>
  </si>
  <si>
    <t>Leonardo Spa - Torino</t>
  </si>
  <si>
    <t>Leonardo Spa - vs Logistica Industriale</t>
  </si>
  <si>
    <t>Leonardo Spa - vs Pianificazione/Supply Chain/AI</t>
  </si>
  <si>
    <t>Macedonio 22 srl</t>
  </si>
  <si>
    <t>Marchi &amp; Fildi Spa</t>
  </si>
  <si>
    <t>Mazza Spa Società Benefit</t>
  </si>
  <si>
    <t>Metal's Spa</t>
  </si>
  <si>
    <t>Mine Consulting</t>
  </si>
  <si>
    <t>Miroglio Fashion srl</t>
  </si>
  <si>
    <t>Morgan Tecnica Spa</t>
  </si>
  <si>
    <t>Mps srl</t>
  </si>
  <si>
    <t>O-I Manufacturing</t>
  </si>
  <si>
    <t>Olimpia Splendid Spa</t>
  </si>
  <si>
    <t>Olivieri srl</t>
  </si>
  <si>
    <t>Oma Spa</t>
  </si>
  <si>
    <t>Paredes Italia Spa</t>
  </si>
  <si>
    <t>Piacenza Group</t>
  </si>
  <si>
    <t>Plurima Spa</t>
  </si>
  <si>
    <t>Probatur Group</t>
  </si>
  <si>
    <t>Pulitalia Spa</t>
  </si>
  <si>
    <t>S2 Spa</t>
  </si>
  <si>
    <t>Sacmi</t>
  </si>
  <si>
    <t>Sannino Forniture srl</t>
  </si>
  <si>
    <t>Save srl</t>
  </si>
  <si>
    <t>Sea Vision srl</t>
  </si>
  <si>
    <t xml:space="preserve"> </t>
  </si>
  <si>
    <t>Serugeri Spa</t>
  </si>
  <si>
    <t>Siap Spa</t>
  </si>
  <si>
    <t>Sifa srl</t>
  </si>
  <si>
    <t>Spader Log srl</t>
  </si>
  <si>
    <t>Still Spa</t>
  </si>
  <si>
    <t>Swinger International</t>
  </si>
  <si>
    <t>T.erre Europe Srl</t>
  </si>
  <si>
    <t>Tatò Paride Spa</t>
  </si>
  <si>
    <t>Tcr Spa</t>
  </si>
  <si>
    <t>Technoprobe Spa</t>
  </si>
  <si>
    <t>Teco srl</t>
  </si>
  <si>
    <t>Tekne Spa</t>
  </si>
  <si>
    <t>Tonitto 1939 Spa</t>
  </si>
  <si>
    <t>Trae srl</t>
  </si>
  <si>
    <t>Urban Logistica Srl</t>
  </si>
  <si>
    <t>Veca Spa</t>
  </si>
  <si>
    <t>Velo-Ce srl</t>
  </si>
  <si>
    <t>Zanotti &amp; Tagliani srl</t>
  </si>
  <si>
    <t>Ab Service srl</t>
  </si>
  <si>
    <t>Bonzai</t>
  </si>
  <si>
    <t>Brevetti Waf srl</t>
  </si>
  <si>
    <t>Carelli srl</t>
  </si>
  <si>
    <t>Cartlandia srl</t>
  </si>
  <si>
    <t>Cati Spa</t>
  </si>
  <si>
    <t>Cdi Consulenti d'Impresa srls</t>
  </si>
  <si>
    <t>Ceccarelli Group</t>
  </si>
  <si>
    <t xml:space="preserve">Ceva Logistics srl </t>
  </si>
  <si>
    <t>Cmm Logistics srl</t>
  </si>
  <si>
    <t>Divulga di Ricciardelli Enrico</t>
  </si>
  <si>
    <t>Dmm Spa</t>
  </si>
  <si>
    <t>Ecor International Spa</t>
  </si>
  <si>
    <t>Ed&amp;F Man Liquid Products Italia Srl</t>
  </si>
  <si>
    <t>Ferramenta Adda Spa</t>
  </si>
  <si>
    <t>Ferrari Spa</t>
  </si>
  <si>
    <t>Icel Scpa</t>
  </si>
  <si>
    <t>Ifap Spa</t>
  </si>
  <si>
    <t>La Torrente srl</t>
  </si>
  <si>
    <t>Manufacture De Souliers - Louis Vuitton</t>
  </si>
  <si>
    <t>Masidef srl</t>
  </si>
  <si>
    <t>Meditrans</t>
  </si>
  <si>
    <t>Modernab srl</t>
  </si>
  <si>
    <t>Original Birth Spa / Vema srl</t>
  </si>
  <si>
    <t>Rossetto Trade Spa</t>
  </si>
  <si>
    <t>Saci Industrie Spa</t>
  </si>
  <si>
    <t>Sbs Spa</t>
  </si>
  <si>
    <t>Società Agricola Merlini e newco in costituzione</t>
  </si>
  <si>
    <t>True Design srl a socio unico</t>
  </si>
  <si>
    <t>Ttl srl</t>
  </si>
  <si>
    <t>Viessmann srl</t>
  </si>
  <si>
    <t>We.Do Holding Spa</t>
  </si>
  <si>
    <t>Well Alimentare Italiana srl</t>
  </si>
  <si>
    <t>WMS</t>
  </si>
  <si>
    <t>Ab Impianti srl</t>
  </si>
  <si>
    <t>Abc Food Service srl</t>
  </si>
  <si>
    <t>Abl srl</t>
  </si>
  <si>
    <t>Aboca spa</t>
  </si>
  <si>
    <t>AcegasApsAmga Spa</t>
  </si>
  <si>
    <t>Acs Dobfar Spa</t>
  </si>
  <si>
    <t>Advantix Spa</t>
  </si>
  <si>
    <t>Aia Spa</t>
  </si>
  <si>
    <t>Argotec</t>
  </si>
  <si>
    <t>Atlante Montello</t>
  </si>
  <si>
    <t>Becchis Osiride srl</t>
  </si>
  <si>
    <t>Bimbivip srl</t>
  </si>
  <si>
    <t>Bracchi srl</t>
  </si>
  <si>
    <t>Bucci Composites</t>
  </si>
  <si>
    <t>Ca Da Mosto Spa</t>
  </si>
  <si>
    <t>Calzaturificio Jumbo SpA</t>
  </si>
  <si>
    <t>Cantina Produttori di Valdobbiadene sac</t>
  </si>
  <si>
    <t>Castles Technology</t>
  </si>
  <si>
    <t>Cnh Industrial - Modena</t>
  </si>
  <si>
    <t>Cnh Industrial - Torino</t>
  </si>
  <si>
    <t>Compagnia Impresa Lavoratori Portuali srl</t>
  </si>
  <si>
    <t>Conad Centro Nord</t>
  </si>
  <si>
    <t>Conceria Pasubio Spa</t>
  </si>
  <si>
    <t>Consorzio Agrario delle Province del Nord Ovest soc. coop.</t>
  </si>
  <si>
    <t>Convert Italia Spa</t>
  </si>
  <si>
    <t>Corte Parma Alimentare srl</t>
  </si>
  <si>
    <t>Coscia srl</t>
  </si>
  <si>
    <t>Costanter Spa</t>
  </si>
  <si>
    <t>D.I. Mar. srl</t>
  </si>
  <si>
    <t>Dgf Trans srl</t>
  </si>
  <si>
    <t>Dhf srl</t>
  </si>
  <si>
    <t>Ducati Motor Holding</t>
  </si>
  <si>
    <t>Edilteco Spa</t>
  </si>
  <si>
    <t>Emmegi Spa</t>
  </si>
  <si>
    <t>Epta Spa - Limana</t>
  </si>
  <si>
    <t>Epta Spa - Milano</t>
  </si>
  <si>
    <t>Europolveri spa</t>
  </si>
  <si>
    <t>Eurospin Spesa Intelligente Spa</t>
  </si>
  <si>
    <t>Ferrero Trading Lux SA</t>
  </si>
  <si>
    <t>Ferriera Valsider Spa</t>
  </si>
  <si>
    <t>Fonderie Sime Spa</t>
  </si>
  <si>
    <t>For-Services srl</t>
  </si>
  <si>
    <t>Foscarini Spa</t>
  </si>
  <si>
    <t>Fratelli Guzzini Spa</t>
  </si>
  <si>
    <t>Gdo Group srl</t>
  </si>
  <si>
    <t>Geico</t>
  </si>
  <si>
    <t>Gervasoni Spa</t>
  </si>
  <si>
    <t>Grid Solution Spa</t>
  </si>
  <si>
    <t>Gruppo Grazioli srl</t>
  </si>
  <si>
    <t>Hera Spa</t>
  </si>
  <si>
    <t>Idrosistemi srl</t>
  </si>
  <si>
    <t>Inviohome</t>
  </si>
  <si>
    <t>Iss Palumbo srl</t>
  </si>
  <si>
    <t>Kion Group</t>
  </si>
  <si>
    <t>Kone Industrial Spa</t>
  </si>
  <si>
    <t>Logistica Uno Europe srl</t>
  </si>
  <si>
    <t>Lucart Spa</t>
  </si>
  <si>
    <t>Madi Ventura Spa</t>
  </si>
  <si>
    <t>Maider NCG srl</t>
  </si>
  <si>
    <t>Marchi &amp; Fildi</t>
  </si>
  <si>
    <t>Mattioli Spa</t>
  </si>
  <si>
    <t>Mdf Motors srl</t>
  </si>
  <si>
    <t>Meat &amp; Doria srl</t>
  </si>
  <si>
    <t>Metinvest Trametal Spa</t>
  </si>
  <si>
    <t>Mi.La. Trasporti e Logistica</t>
  </si>
  <si>
    <t>Mitsubishi Electric</t>
  </si>
  <si>
    <t>MM Operations Srl</t>
  </si>
  <si>
    <t>Modula Spa</t>
  </si>
  <si>
    <t>Mpe Srl</t>
  </si>
  <si>
    <t>Neoparts scarl</t>
  </si>
  <si>
    <t>Neri Spa</t>
  </si>
  <si>
    <t>Newster System srl</t>
  </si>
  <si>
    <t>Nte Process srl</t>
  </si>
  <si>
    <t>Original Birth Spa</t>
  </si>
  <si>
    <t>Pama Coloranti Srl</t>
  </si>
  <si>
    <t>Prearo Luce Company Spa</t>
  </si>
  <si>
    <t>Produce International srl</t>
  </si>
  <si>
    <t>Rait 88 srl</t>
  </si>
  <si>
    <t>Rittal Spa</t>
  </si>
  <si>
    <t>Rustichella D'Abruzzo Spa</t>
  </si>
  <si>
    <t>Rvn Group srl</t>
  </si>
  <si>
    <t>Saica Pack Italia Spa</t>
  </si>
  <si>
    <t>Sailpost Spa</t>
  </si>
  <si>
    <t>Salsa Jeans</t>
  </si>
  <si>
    <t>Sapio srl</t>
  </si>
  <si>
    <t>Savino Del Bene Logistics SA</t>
  </si>
  <si>
    <t>Secur Service</t>
  </si>
  <si>
    <t>Siser srl</t>
  </si>
  <si>
    <t>Soa Corporate</t>
  </si>
  <si>
    <t>Soplaya srl</t>
  </si>
  <si>
    <t>Stucchi Spa</t>
  </si>
  <si>
    <t>Tek Automotive srl</t>
  </si>
  <si>
    <t>Teknomega</t>
  </si>
  <si>
    <t>Tenuta di Castelfalfi SpA</t>
  </si>
  <si>
    <t>Tirelli srl</t>
  </si>
  <si>
    <t>Twoside srl</t>
  </si>
  <si>
    <t>Unicoop Firenze</t>
  </si>
  <si>
    <t>Urbani Tartufi</t>
  </si>
  <si>
    <t>Val D'Oca srl</t>
  </si>
  <si>
    <t>Vdalogistica scarl</t>
  </si>
  <si>
    <t>Veneta Isolatori</t>
  </si>
  <si>
    <t>Vincenzo Zucchi Spa</t>
  </si>
  <si>
    <t>Arvato Italia</t>
  </si>
  <si>
    <t>Automobili Lamborghini Spa</t>
  </si>
  <si>
    <t>Bmb Manifattura Borse</t>
  </si>
  <si>
    <t>Boldrocchi srl</t>
  </si>
  <si>
    <t>Bouvard Italia</t>
  </si>
  <si>
    <t>Bticino Spa</t>
  </si>
  <si>
    <t>Cdf Centro Distribuzione del Farmaco</t>
  </si>
  <si>
    <t>Cedi Sigma Campania Spa</t>
  </si>
  <si>
    <t>Centro Gamma Spa</t>
  </si>
  <si>
    <t>Chematek</t>
  </si>
  <si>
    <t>Clementoni Spa</t>
  </si>
  <si>
    <t>Colfert Spa</t>
  </si>
  <si>
    <t>Copre soc. coop. arl</t>
  </si>
  <si>
    <t>Decathlon</t>
  </si>
  <si>
    <t>Denegri snc di Denegri Stefano &amp; C.</t>
  </si>
  <si>
    <t>Faps srl</t>
  </si>
  <si>
    <t xml:space="preserve">Franke Spa </t>
  </si>
  <si>
    <t>Gesco Sca</t>
  </si>
  <si>
    <t>Gi.Ma. Trans</t>
  </si>
  <si>
    <t>Intra srl</t>
  </si>
  <si>
    <t>Italmondo Spa</t>
  </si>
  <si>
    <t>Jekko srl</t>
  </si>
  <si>
    <t>Kpmg Advisory Spa</t>
  </si>
  <si>
    <t>Le Caselle Spa</t>
  </si>
  <si>
    <t>MediaProfili Srl</t>
  </si>
  <si>
    <t xml:space="preserve">Miniconf Spa </t>
  </si>
  <si>
    <t>Oleificio Zucchi Spa</t>
  </si>
  <si>
    <t>Pinto srl</t>
  </si>
  <si>
    <t>Pizzoli Spa</t>
  </si>
  <si>
    <t>Soteco International srl</t>
  </si>
  <si>
    <t>Unicoop Tirreno sc</t>
  </si>
  <si>
    <t>Vimec srl</t>
  </si>
  <si>
    <t>Voilàp SpA</t>
  </si>
  <si>
    <t>WeDo Holding spa</t>
  </si>
  <si>
    <t>Baue1pert  Spa</t>
  </si>
  <si>
    <t xml:space="preserve">Consorzio Lodi E1port </t>
  </si>
  <si>
    <t>Dedima1 srl</t>
  </si>
  <si>
    <t>Reda1 Spa</t>
  </si>
  <si>
    <t>Xero1 Spa</t>
  </si>
  <si>
    <t>xpl srl</t>
  </si>
  <si>
    <t>Somma di WMS</t>
  </si>
  <si>
    <t>Somma di SELEZIONATA</t>
  </si>
  <si>
    <t>Somma di INCONTRATA</t>
  </si>
  <si>
    <t>Aeb Group</t>
  </si>
  <si>
    <t>Algodue Elettronica Srl</t>
  </si>
  <si>
    <t>Alisia Accessorize Srl</t>
  </si>
  <si>
    <t>Beko</t>
  </si>
  <si>
    <t>Betafence Italia</t>
  </si>
  <si>
    <t>Beverete Network srl</t>
  </si>
  <si>
    <t>Boggi Milano</t>
  </si>
  <si>
    <t>Bracchi Spa</t>
  </si>
  <si>
    <t>Brevetti Signode Labea Spa</t>
  </si>
  <si>
    <t>C.A.M.P. SpA</t>
  </si>
  <si>
    <t>Capurso Trade &amp; Service</t>
  </si>
  <si>
    <t>Cavagna Group</t>
  </si>
  <si>
    <t>Cellino Srl</t>
  </si>
  <si>
    <t>Cirfood sc</t>
  </si>
  <si>
    <t>Colognese srl</t>
  </si>
  <si>
    <t xml:space="preserve">Consorzio Lodi Export </t>
  </si>
  <si>
    <t>Contarini Leopoldo srl</t>
  </si>
  <si>
    <t>Cooperativa sociale Gruppo78 scs</t>
  </si>
  <si>
    <t>Cpa</t>
  </si>
  <si>
    <t>Davines Spa</t>
  </si>
  <si>
    <t>Dino Corsini srl</t>
  </si>
  <si>
    <t>Dominus</t>
  </si>
  <si>
    <t>Esercito Italiano - Polo Nazionale Rifornimenti</t>
  </si>
  <si>
    <t xml:space="preserve">Europont Srl </t>
  </si>
  <si>
    <t>Fan Europe Lighting</t>
  </si>
  <si>
    <t>Fandis Spa</t>
  </si>
  <si>
    <t>Fis - Fabbrica Italiana Sintetici Spa</t>
  </si>
  <si>
    <t>Fontana Gruppo</t>
  </si>
  <si>
    <t>Fresenius Kabi Italia</t>
  </si>
  <si>
    <t>Ft System srl a socio unico</t>
  </si>
  <si>
    <t>Galletti Spa</t>
  </si>
  <si>
    <t>Gruppo Grazioli</t>
  </si>
  <si>
    <t>Gruppo M Italia</t>
  </si>
  <si>
    <t>Hitachi Rail Rcs Italia srl</t>
  </si>
  <si>
    <t>Hp Hydraulic</t>
  </si>
  <si>
    <t>Hsr Italia</t>
  </si>
  <si>
    <t>Huber AgroSolution</t>
  </si>
  <si>
    <t>Ilgom Tubi Srl</t>
  </si>
  <si>
    <t>Koppert Italia</t>
  </si>
  <si>
    <t>L.S. Logistica Sanitaria srl</t>
  </si>
  <si>
    <t>Laborplast Spa</t>
  </si>
  <si>
    <t>Ligra DS srl</t>
  </si>
  <si>
    <t>Malga Trasporti srl</t>
  </si>
  <si>
    <t>Micheletto srl</t>
  </si>
  <si>
    <t>Migross Spa</t>
  </si>
  <si>
    <t>Mise En Place di Alberto Ferrari</t>
  </si>
  <si>
    <t>Modyf srl</t>
  </si>
  <si>
    <t>Natura Nuova</t>
  </si>
  <si>
    <t>New Wave Italia srl</t>
  </si>
  <si>
    <t>Nuova Defim Spa</t>
  </si>
  <si>
    <t>O-I Manufacturing Italy SpA</t>
  </si>
  <si>
    <t>Paolo Astori Spa</t>
  </si>
  <si>
    <t>Pietrasanta Pharma Spa</t>
  </si>
  <si>
    <t>Rifra Masterbatches</t>
  </si>
  <si>
    <t>Rivoire srl</t>
  </si>
  <si>
    <t>Rubber Conversion Srl</t>
  </si>
  <si>
    <t>Sacmi Cassioli Intralogistics</t>
  </si>
  <si>
    <t>Sammontana SpA Società Benefit</t>
  </si>
  <si>
    <t>Sidney Aston srl</t>
  </si>
  <si>
    <t>Sofir srl</t>
  </si>
  <si>
    <t>Stato Maggiore Esercito - IV Reparto Logistico</t>
  </si>
  <si>
    <t>Trocellen Group</t>
  </si>
  <si>
    <t>Unoaerre Industries</t>
  </si>
  <si>
    <t>Vda Logistica scarl</t>
  </si>
  <si>
    <t>Vemer Spa</t>
  </si>
  <si>
    <t>Zeroquattro Logistica srl</t>
  </si>
  <si>
    <t>Aetna Group</t>
  </si>
  <si>
    <t>Aliprandi Beverage</t>
  </si>
  <si>
    <t>Allegrini Spa</t>
  </si>
  <si>
    <t>Ammann Italy srl</t>
  </si>
  <si>
    <t>Angel4Future - Angel Company</t>
  </si>
  <si>
    <t>Breton Spa</t>
  </si>
  <si>
    <t>Bulgari Gioielli Spa</t>
  </si>
  <si>
    <t>Cofle Spa</t>
  </si>
  <si>
    <t>Il Gufo Spa</t>
  </si>
  <si>
    <t>Kerakoll Spa</t>
  </si>
  <si>
    <t>M&amp;S Logistica srl</t>
  </si>
  <si>
    <t>Maltech srl</t>
  </si>
  <si>
    <t>Maniva Spa</t>
  </si>
  <si>
    <t>Mercury srl</t>
  </si>
  <si>
    <t>Minelli Spa</t>
  </si>
  <si>
    <t>Ori di Altini Annamaria</t>
  </si>
  <si>
    <t>Pagani Pens sa</t>
  </si>
  <si>
    <t>Piovan Spa</t>
  </si>
  <si>
    <t>Prix Quality Spa</t>
  </si>
  <si>
    <t>Progold Spa</t>
  </si>
  <si>
    <t>Rotho Blaas</t>
  </si>
  <si>
    <t>Sabelt Spa</t>
  </si>
  <si>
    <t>Somec Spa</t>
  </si>
  <si>
    <t>Tovo Gomma Spa</t>
  </si>
  <si>
    <t>Toyota Tsusho Europe Sa</t>
  </si>
  <si>
    <t>Westrafo srl</t>
  </si>
  <si>
    <t>Agrati FSP</t>
  </si>
  <si>
    <t>Antonio Carraro Spa</t>
  </si>
  <si>
    <t>Azienda Sanitaria dell'Alto Adige</t>
  </si>
  <si>
    <t>Bbf srl</t>
  </si>
  <si>
    <t>Bestway Italia Srl</t>
  </si>
  <si>
    <t>Betafence Italia / Praesidiad</t>
  </si>
  <si>
    <t>Copan Group Spa</t>
  </si>
  <si>
    <t>Costruzioni Generali Basso cav. Angelo Spa</t>
  </si>
  <si>
    <t>Covim Spa</t>
  </si>
  <si>
    <t>Dega e Grazioli srl</t>
  </si>
  <si>
    <t>Enetec &amp; Eurotherm Spa sb</t>
  </si>
  <si>
    <t>Eolo Spa</t>
  </si>
  <si>
    <t>Fater Spa</t>
  </si>
  <si>
    <t>Fenice srl</t>
  </si>
  <si>
    <t>Friulsider Spa</t>
  </si>
  <si>
    <t>Gabbiano Spa</t>
  </si>
  <si>
    <t>Gilardoni Spa</t>
  </si>
  <si>
    <t>Golfomar srl</t>
  </si>
  <si>
    <t>Haupt Pharma Latina Srl</t>
  </si>
  <si>
    <t>Igt Lottery Italy - Field</t>
  </si>
  <si>
    <t>Igt Lottery Italy - Logistica</t>
  </si>
  <si>
    <t>Kohler Engines</t>
  </si>
  <si>
    <t>Koppert Italia srl</t>
  </si>
  <si>
    <t>Laziale Distribuzione Spa</t>
  </si>
  <si>
    <t>Marazzi Group srl</t>
  </si>
  <si>
    <t>Mint Italia Srl</t>
  </si>
  <si>
    <t>Mp3 srl</t>
  </si>
  <si>
    <t>Multicedi srl</t>
  </si>
  <si>
    <t>Ocme srl</t>
  </si>
  <si>
    <t>Polykeg srl</t>
  </si>
  <si>
    <t>Puratos Italia srl</t>
  </si>
  <si>
    <t>Redax Spa</t>
  </si>
  <si>
    <t>Salov Spa</t>
  </si>
  <si>
    <t>Sanguedolce srl</t>
  </si>
  <si>
    <t>Scame Parre Spa</t>
  </si>
  <si>
    <t>Sicor srl</t>
  </si>
  <si>
    <t>Tralfo srl</t>
  </si>
  <si>
    <t>Way Point srl</t>
  </si>
  <si>
    <t>Za' srl</t>
  </si>
  <si>
    <t>Zanardi Fonderie Spa</t>
  </si>
  <si>
    <t>3F Filippi Spa</t>
  </si>
  <si>
    <t>Aeroporto G. Marconi di Bologna</t>
  </si>
  <si>
    <t>Astro srl</t>
  </si>
  <si>
    <t>Azienda Sanitaria Provinciale di Caltanissetta</t>
  </si>
  <si>
    <t>Bauli Spa</t>
  </si>
  <si>
    <t xml:space="preserve">Bennati Srl </t>
  </si>
  <si>
    <t>Bp Italia Spa</t>
  </si>
  <si>
    <t>BulLdOgFrance</t>
  </si>
  <si>
    <t>Cartiere del Garda</t>
  </si>
  <si>
    <t xml:space="preserve">Casappa Spa </t>
  </si>
  <si>
    <t>Cirfood</t>
  </si>
  <si>
    <t>Colorobbia Italia Spa</t>
  </si>
  <si>
    <t>Comelit Spa</t>
  </si>
  <si>
    <t>Danfoss Power Solutions</t>
  </si>
  <si>
    <t>Eg Italia</t>
  </si>
  <si>
    <t>Electrolux Group</t>
  </si>
  <si>
    <t>Elite Srl</t>
  </si>
  <si>
    <t>Family service di Baldi Antonio</t>
  </si>
  <si>
    <t>Farmo Spa</t>
  </si>
  <si>
    <t>Fast Freight Marconi Spa</t>
  </si>
  <si>
    <t>Fgv Spa</t>
  </si>
  <si>
    <t>Galifi srl</t>
  </si>
  <si>
    <t>Gimatic</t>
  </si>
  <si>
    <t>Greci Industria Alimentare</t>
  </si>
  <si>
    <t>Innio Jenbacher</t>
  </si>
  <si>
    <t>Kartell Spa</t>
  </si>
  <si>
    <t>Leonardo Electronics</t>
  </si>
  <si>
    <t>Leonardo Logistics Spa</t>
  </si>
  <si>
    <t xml:space="preserve">Lidle Italia Srl </t>
  </si>
  <si>
    <t>Lindab Spa</t>
  </si>
  <si>
    <t>Loescher Editore Divisione Zanichelli Spa</t>
  </si>
  <si>
    <t>Mac Logistica srl</t>
  </si>
  <si>
    <t>Mainfreight Italy srl</t>
  </si>
  <si>
    <t>Mcz Group Spa</t>
  </si>
  <si>
    <t>Med Trans World srl</t>
  </si>
  <si>
    <t>Megamark srl</t>
  </si>
  <si>
    <t>Menz &amp; Gasser Spa</t>
  </si>
  <si>
    <t>Mic - Manifattura Italiana Cucirini Spa</t>
  </si>
  <si>
    <t>Midland Europe srl</t>
  </si>
  <si>
    <t>Mis Medical srl</t>
  </si>
  <si>
    <t>Mita Cooling Technologies srl</t>
  </si>
  <si>
    <t>Office Depot Italia Srl</t>
  </si>
  <si>
    <t>Patlite Europe srl</t>
  </si>
  <si>
    <t>Poly Pool Spa</t>
  </si>
  <si>
    <t>Prysmian</t>
  </si>
  <si>
    <t>Sadel Spa</t>
  </si>
  <si>
    <t>Sdm srl</t>
  </si>
  <si>
    <t>Sirca Spa</t>
  </si>
  <si>
    <t>Sky</t>
  </si>
  <si>
    <t>Stanhome SpA s.b.</t>
  </si>
  <si>
    <t>Subaru Italia Spa</t>
  </si>
  <si>
    <t>Ufi Filters</t>
  </si>
  <si>
    <t>Valmont Solar</t>
  </si>
  <si>
    <t>Yara</t>
  </si>
  <si>
    <t>Cone1o Technologies srl</t>
  </si>
  <si>
    <t>E1trema srl</t>
  </si>
  <si>
    <t>Sante1 Spa</t>
  </si>
  <si>
    <t>Aepi Industry</t>
  </si>
  <si>
    <t>Agrieuro srl</t>
  </si>
  <si>
    <t>Alfa Valvole</t>
  </si>
  <si>
    <t>Alpego Spa</t>
  </si>
  <si>
    <t>Aosom Italy srl</t>
  </si>
  <si>
    <t>Baltur Spa</t>
  </si>
  <si>
    <t>Bmb Manifattura Borse Spa</t>
  </si>
  <si>
    <t>Brenntag Spa</t>
  </si>
  <si>
    <t>Calicantus</t>
  </si>
  <si>
    <t>Carpigiani Group Ali srl</t>
  </si>
  <si>
    <t>Cfmo Logistics</t>
  </si>
  <si>
    <t>Cgt</t>
  </si>
  <si>
    <t>Cnh Industrial</t>
  </si>
  <si>
    <t>Cnh Industrial - (Magazzino)</t>
  </si>
  <si>
    <t>Comar Spa</t>
  </si>
  <si>
    <t>Combustion Chamber Components</t>
  </si>
  <si>
    <t>Comelit Group Spa</t>
  </si>
  <si>
    <t>Comisa Spa</t>
  </si>
  <si>
    <t>Consorzio Agribologna sca</t>
  </si>
  <si>
    <t>Costruzioni Generali Basso cav. Angelo Spa / Sogeicom</t>
  </si>
  <si>
    <t>Cvr Spa</t>
  </si>
  <si>
    <t>Dimac Red Spa</t>
  </si>
  <si>
    <t xml:space="preserve">Dr. Schär Spa </t>
  </si>
  <si>
    <t>Ed&amp;F Man Liquid Products Italia srl</t>
  </si>
  <si>
    <t>Ellmann Logistik srl</t>
  </si>
  <si>
    <t>Emar Giannobi</t>
  </si>
  <si>
    <t>Emmi Dessert Italia Spa</t>
  </si>
  <si>
    <t>Eridania Spa</t>
  </si>
  <si>
    <t>Fanti Packaging</t>
  </si>
  <si>
    <t>Federfarmaco</t>
  </si>
  <si>
    <t>Ferexpert Spa</t>
  </si>
  <si>
    <t>Fincantieri Spa</t>
  </si>
  <si>
    <t>Fis Fabbrica Italiana Sintetici Spa</t>
  </si>
  <si>
    <t>Gc Group srl</t>
  </si>
  <si>
    <t>Gda Spa</t>
  </si>
  <si>
    <t>Gefran Spa</t>
  </si>
  <si>
    <t>Gucci Logistica</t>
  </si>
  <si>
    <t>Hustle Srl</t>
  </si>
  <si>
    <t>Imab Group Spa</t>
  </si>
  <si>
    <t>Iq Gempac srl</t>
  </si>
  <si>
    <t xml:space="preserve">Itp Spa -  Industria Termoplastica Pavese Spa </t>
  </si>
  <si>
    <t>Ivela srl</t>
  </si>
  <si>
    <t>Lavanderia Pino Srl</t>
  </si>
  <si>
    <t>Leonardo Spa - Difesa</t>
  </si>
  <si>
    <t>Leonardo Spa - Genova</t>
  </si>
  <si>
    <t>Limacorporate Spa</t>
  </si>
  <si>
    <t>Mantoan Trasporti</t>
  </si>
  <si>
    <t>Materiali Edili Roman Terzer</t>
  </si>
  <si>
    <t>Messaggerie del Garda</t>
  </si>
  <si>
    <t>Mezzacorona Sca</t>
  </si>
  <si>
    <t>Mitsubishi Electric Hydronics &amp; IT Cooling Systems Spa</t>
  </si>
  <si>
    <t>Northrop Grumman Italia</t>
  </si>
  <si>
    <t>Omp srl</t>
  </si>
  <si>
    <t>OnestiGroup Spa</t>
  </si>
  <si>
    <t>Pac2000A Conad</t>
  </si>
  <si>
    <t xml:space="preserve">Pedrollo spa </t>
  </si>
  <si>
    <t>Pentair Manufacturing Italy srl</t>
  </si>
  <si>
    <t>Pharmac Italia</t>
  </si>
  <si>
    <t>Poloplast srl</t>
  </si>
  <si>
    <t>Praesidiad</t>
  </si>
  <si>
    <t>Punch Torino Spa</t>
  </si>
  <si>
    <t>Radiall Italia Srl</t>
  </si>
  <si>
    <t>Revenue Collection Systems Italia srl</t>
  </si>
  <si>
    <t>S&amp;A srl</t>
  </si>
  <si>
    <t>Sassi Editore Srl</t>
  </si>
  <si>
    <t>Schenker Italiana Spa</t>
  </si>
  <si>
    <t>Schneider Electric Industrie Italia</t>
  </si>
  <si>
    <t>Simonetti</t>
  </si>
  <si>
    <t>Sorma Spa</t>
  </si>
  <si>
    <t>Spediterraneo srl</t>
  </si>
  <si>
    <t>Tecomec srl</t>
  </si>
  <si>
    <t>Wittur Italia Holding srl</t>
  </si>
  <si>
    <t>Aervaro srl</t>
  </si>
  <si>
    <t>Am Logistica srl</t>
  </si>
  <si>
    <t>Avanzini Logistica Srl</t>
  </si>
  <si>
    <t>Benelli QJ srl</t>
  </si>
  <si>
    <t>Biessse Tape Solutions Spa</t>
  </si>
  <si>
    <t>Cartotecnica Postumia</t>
  </si>
  <si>
    <t>Criocabin Spa</t>
  </si>
  <si>
    <t>Diasorin</t>
  </si>
  <si>
    <t>Endress + Hauser</t>
  </si>
  <si>
    <t>Fami Spa</t>
  </si>
  <si>
    <t>Goriziane E&amp;C</t>
  </si>
  <si>
    <t>Mai Italia srl / Mdl Engineering srl</t>
  </si>
  <si>
    <t>Pidielle Spa</t>
  </si>
  <si>
    <t>Pilkington Italia spa</t>
  </si>
  <si>
    <t>Procosmet srl</t>
  </si>
  <si>
    <t>Ricci Carlo srl</t>
  </si>
  <si>
    <t>San Marco Beverage Network</t>
  </si>
  <si>
    <t>Silgan Dispensing Systems</t>
  </si>
  <si>
    <t>Taro Plast</t>
  </si>
  <si>
    <t>Unifreddo Solutions srl</t>
  </si>
  <si>
    <t>Unifreddo srl</t>
  </si>
  <si>
    <t>Vivisol srl</t>
  </si>
  <si>
    <t>Whitebridge Pet Brands</t>
  </si>
  <si>
    <t>Zoin srl</t>
  </si>
  <si>
    <t>CALL/VISITA</t>
  </si>
  <si>
    <t>Av SERVICE Spa</t>
  </si>
  <si>
    <t>Somma di CALL/VISITA</t>
  </si>
  <si>
    <t>4Bild</t>
  </si>
  <si>
    <t>Alfuno Spa</t>
  </si>
  <si>
    <t>Aptar Pescara SpA</t>
  </si>
  <si>
    <t>Balconi Spa</t>
  </si>
  <si>
    <t>Biepi</t>
  </si>
  <si>
    <t>Bonterre (Parmareggio + Grandi Salumifici Italiani)</t>
  </si>
  <si>
    <t>Camini Wierer srl</t>
  </si>
  <si>
    <t>Ccm</t>
  </si>
  <si>
    <t>Chiapparoli Logistica Spa</t>
  </si>
  <si>
    <t>Cms Spa</t>
  </si>
  <si>
    <t>Cobo spa</t>
  </si>
  <si>
    <t>Coelsanus spa</t>
  </si>
  <si>
    <t>Cofra srl</t>
  </si>
  <si>
    <t>Colorgraf Spa</t>
  </si>
  <si>
    <t xml:space="preserve">Cris Conf Spa </t>
  </si>
  <si>
    <t>Diffusione tessile srl</t>
  </si>
  <si>
    <t>Dpv Spa</t>
  </si>
  <si>
    <t>Fainplast</t>
  </si>
  <si>
    <t>Fileni Alimentare Spa</t>
  </si>
  <si>
    <t>Fimar Spa</t>
  </si>
  <si>
    <t>Fratelli Piacenza Spa 1733</t>
  </si>
  <si>
    <t>Granda Team</t>
  </si>
  <si>
    <t>Hme Brass Italy Spa</t>
  </si>
  <si>
    <t>IGuzzini Illuminazione Spa</t>
  </si>
  <si>
    <t>Ilsa Srl</t>
  </si>
  <si>
    <t>Imax srl unipersonale</t>
  </si>
  <si>
    <t>Js Global Spa</t>
  </si>
  <si>
    <t>Kering Eyewear SpA</t>
  </si>
  <si>
    <t>Kioene Spa</t>
  </si>
  <si>
    <t>Larimart SpA</t>
  </si>
  <si>
    <t>Leonardo Spa - Divisione Elettronica</t>
  </si>
  <si>
    <t>Leonardo Spa - Divisione Velivoli</t>
  </si>
  <si>
    <t>Lube Industries srl</t>
  </si>
  <si>
    <t>Ma.C. Srl</t>
  </si>
  <si>
    <t>Manifattura Italiana Cucirini Spa</t>
  </si>
  <si>
    <t>MaxMara Fashion Group</t>
  </si>
  <si>
    <t>Mazza Sollevamenti Srl</t>
  </si>
  <si>
    <t>Med Trans World</t>
  </si>
  <si>
    <t>Metal World SpA</t>
  </si>
  <si>
    <t>Mevis Euromeccanica Spa</t>
  </si>
  <si>
    <t>Molino Casillo Spa</t>
  </si>
  <si>
    <t>Movimoda One</t>
  </si>
  <si>
    <t>Officine Margoni</t>
  </si>
  <si>
    <t>Orthofix Srl</t>
  </si>
  <si>
    <t>Osit Impresa Spa</t>
  </si>
  <si>
    <t xml:space="preserve">Palladium Moda srl </t>
  </si>
  <si>
    <t>Pastificio Pasticceria Tossini spa</t>
  </si>
  <si>
    <t>Pettenon Cosmetics Spa</t>
  </si>
  <si>
    <t>Pircher Oberland</t>
  </si>
  <si>
    <t>Pracal</t>
  </si>
  <si>
    <t>Promagroup</t>
  </si>
  <si>
    <t>Rajapack srl</t>
  </si>
  <si>
    <t>Rcr Cristalleria Italiana</t>
  </si>
  <si>
    <t>Risto3 sc</t>
  </si>
  <si>
    <t>Rummo Spa</t>
  </si>
  <si>
    <t>Sacmi Imola sc</t>
  </si>
  <si>
    <t>Scen</t>
  </si>
  <si>
    <t>Schwabe Pharma Italia srl</t>
  </si>
  <si>
    <t>Sielte Spa</t>
  </si>
  <si>
    <t>Spival Spa</t>
  </si>
  <si>
    <t xml:space="preserve">Swisscare srl </t>
  </si>
  <si>
    <t>Tillmanns Spa</t>
  </si>
  <si>
    <t>Verona Lamiere Spa</t>
  </si>
  <si>
    <t>Vetrauto srl</t>
  </si>
  <si>
    <t>Vetrocar</t>
  </si>
  <si>
    <t>All4Labels Italy Spa</t>
  </si>
  <si>
    <t>Arneg Spa</t>
  </si>
  <si>
    <t>Balenciaga Logistica srl</t>
  </si>
  <si>
    <t>Bondioli e Pavesi - Hp Hydraulic</t>
  </si>
  <si>
    <t>Carlo Cagnoni Spa</t>
  </si>
  <si>
    <t>Eurostandard</t>
  </si>
  <si>
    <t>Fom Industrie</t>
  </si>
  <si>
    <t>Gmm srl</t>
  </si>
  <si>
    <t>Goriziane Group Spa</t>
  </si>
  <si>
    <t>Gualapack Spa</t>
  </si>
  <si>
    <t>Interior Beltramini srl</t>
  </si>
  <si>
    <t>Italcuscinetti Spa</t>
  </si>
  <si>
    <t>Lb Plast srl</t>
  </si>
  <si>
    <t xml:space="preserve">Logista Italia Spa </t>
  </si>
  <si>
    <t>Nespoli srl</t>
  </si>
  <si>
    <t>Piva Group Spa</t>
  </si>
  <si>
    <t>Sanremo Coffee Machines</t>
  </si>
  <si>
    <t>Sapio Life</t>
  </si>
  <si>
    <t>Sitland Spa</t>
  </si>
  <si>
    <t>Spal Automotive</t>
  </si>
  <si>
    <t>Tangity (NTT DATA)</t>
  </si>
  <si>
    <t>Etichette di riga</t>
  </si>
  <si>
    <t>Totale complessivo</t>
  </si>
  <si>
    <t>Conteggio di CALL/VISITA</t>
  </si>
  <si>
    <t>Ali Spa</t>
  </si>
  <si>
    <t>Almar srl</t>
  </si>
  <si>
    <t>Arredo3</t>
  </si>
  <si>
    <t>Biolab srl</t>
  </si>
  <si>
    <t>Bonzai Spa</t>
  </si>
  <si>
    <t>Btt Solutions</t>
  </si>
  <si>
    <t>Cooperativa Pescatori Arborea scarl</t>
  </si>
  <si>
    <t>Energo Logistic Spa</t>
  </si>
  <si>
    <t>Fiamm Energy Technology</t>
  </si>
  <si>
    <t>Fiege Logistics</t>
  </si>
  <si>
    <t>Fratelli Polli Spa</t>
  </si>
  <si>
    <t>Gruppo Poron srl</t>
  </si>
  <si>
    <t>Happiness Srl</t>
  </si>
  <si>
    <t>Hexagon  Spa</t>
  </si>
  <si>
    <t>Italiansped Spa</t>
  </si>
  <si>
    <t>Izo Vaxxinova srl</t>
  </si>
  <si>
    <t>La Cisa Trasporti Industriali</t>
  </si>
  <si>
    <t>L'Inglesina Baby Spa</t>
  </si>
  <si>
    <t>Nar Spa</t>
  </si>
  <si>
    <t>Onis Visa</t>
  </si>
  <si>
    <t>Onniversum Italia srl</t>
  </si>
  <si>
    <t>Percassi Retail</t>
  </si>
  <si>
    <t>Pezzol Industries srl</t>
  </si>
  <si>
    <t>Prima Cucine srl</t>
  </si>
  <si>
    <t>Sarlux</t>
  </si>
  <si>
    <t>Taplast</t>
  </si>
  <si>
    <t>Te. Tecnoelettronica srl</t>
  </si>
  <si>
    <t>Toma - Advanced Biomedical Assays Spa</t>
  </si>
  <si>
    <t>TreCuori Spa sb</t>
  </si>
  <si>
    <t>Villa Sistemi Medicali</t>
  </si>
  <si>
    <t>Zarpellon SpA</t>
  </si>
  <si>
    <t>N° presenze</t>
  </si>
  <si>
    <t xml:space="preserve">Società </t>
  </si>
  <si>
    <t>Conteggio di N° presenze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</si>
</sst>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rgb="FF9C65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5" borderId="5" applyNumberFormat="0" applyAlignment="0" applyProtection="0"/>
    <xf numFmtId="0" fontId="18" fillId="6" borderId="6" applyNumberFormat="0" applyAlignment="0" applyProtection="0"/>
    <xf numFmtId="0" fontId="19" fillId="6" borderId="5" applyNumberFormat="0" applyAlignment="0" applyProtection="0"/>
    <xf numFmtId="0" fontId="20" fillId="0" borderId="7" applyNumberFormat="0" applyFill="0" applyAlignment="0" applyProtection="0"/>
    <xf numFmtId="0" fontId="21" fillId="7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24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24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4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24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24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24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25" fillId="0" borderId="0"/>
    <xf numFmtId="0" fontId="7" fillId="0" borderId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4" borderId="0" applyNumberFormat="0" applyBorder="0" applyAlignment="0" applyProtection="0"/>
    <xf numFmtId="0" fontId="10" fillId="0" borderId="0"/>
    <xf numFmtId="0" fontId="10" fillId="8" borderId="9" applyNumberFormat="0" applyFont="0" applyAlignment="0" applyProtection="0"/>
  </cellStyleXfs>
  <cellXfs count="9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49" fontId="7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49" fontId="5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49" fontId="9" fillId="0" borderId="1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5" fillId="33" borderId="1" xfId="0" applyFont="1" applyFill="1" applyBorder="1" applyAlignment="1">
      <alignment wrapText="1"/>
    </xf>
    <xf numFmtId="0" fontId="6" fillId="33" borderId="1" xfId="0" applyFont="1" applyFill="1" applyBorder="1" applyAlignment="1">
      <alignment horizontal="left" wrapText="1"/>
    </xf>
    <xf numFmtId="49" fontId="5" fillId="33" borderId="1" xfId="0" applyNumberFormat="1" applyFont="1" applyFill="1" applyBorder="1" applyAlignment="1">
      <alignment wrapText="1"/>
    </xf>
    <xf numFmtId="0" fontId="6" fillId="33" borderId="1" xfId="0" applyFont="1" applyFill="1" applyBorder="1" applyAlignment="1">
      <alignment wrapText="1"/>
    </xf>
    <xf numFmtId="0" fontId="5" fillId="33" borderId="1" xfId="0" applyFont="1" applyFill="1" applyBorder="1" applyAlignment="1">
      <alignment horizontal="left" wrapText="1"/>
    </xf>
    <xf numFmtId="49" fontId="6" fillId="33" borderId="1" xfId="0" applyNumberFormat="1" applyFont="1" applyFill="1" applyBorder="1" applyAlignment="1">
      <alignment horizontal="left" wrapText="1"/>
    </xf>
    <xf numFmtId="49" fontId="6" fillId="33" borderId="1" xfId="0" applyNumberFormat="1" applyFont="1" applyFill="1" applyBorder="1" applyAlignment="1">
      <alignment wrapText="1"/>
    </xf>
    <xf numFmtId="0" fontId="5" fillId="33" borderId="1" xfId="34" applyFont="1" applyFill="1" applyBorder="1" applyAlignment="1">
      <alignment wrapText="1"/>
    </xf>
    <xf numFmtId="0" fontId="9" fillId="33" borderId="1" xfId="35" applyFont="1" applyFill="1" applyBorder="1" applyAlignment="1">
      <alignment wrapText="1"/>
    </xf>
    <xf numFmtId="49" fontId="9" fillId="33" borderId="1" xfId="35" applyNumberFormat="1" applyFont="1" applyFill="1" applyBorder="1" applyAlignment="1">
      <alignment wrapText="1"/>
    </xf>
    <xf numFmtId="0" fontId="9" fillId="33" borderId="1" xfId="35" applyFont="1" applyFill="1" applyBorder="1" applyAlignment="1">
      <alignment horizontal="left" wrapText="1"/>
    </xf>
    <xf numFmtId="0" fontId="8" fillId="33" borderId="1" xfId="35" applyFont="1" applyFill="1" applyBorder="1" applyAlignment="1">
      <alignment wrapText="1"/>
    </xf>
    <xf numFmtId="49" fontId="8" fillId="33" borderId="1" xfId="35" applyNumberFormat="1" applyFont="1" applyFill="1" applyBorder="1" applyAlignment="1">
      <alignment wrapText="1"/>
    </xf>
    <xf numFmtId="0" fontId="8" fillId="33" borderId="1" xfId="35" applyFont="1" applyFill="1" applyBorder="1" applyAlignment="1">
      <alignment horizontal="left" wrapText="1"/>
    </xf>
    <xf numFmtId="49" fontId="6" fillId="0" borderId="1" xfId="0" applyNumberFormat="1" applyFont="1" applyBorder="1" applyAlignment="1">
      <alignment horizontal="left" wrapText="1"/>
    </xf>
    <xf numFmtId="49" fontId="9" fillId="0" borderId="1" xfId="0" applyNumberFormat="1" applyFont="1" applyBorder="1" applyAlignment="1">
      <alignment horizontal="left" wrapText="1"/>
    </xf>
    <xf numFmtId="0" fontId="0" fillId="0" borderId="11" xfId="0" applyBorder="1"/>
    <xf numFmtId="0" fontId="0" fillId="0" borderId="0" xfId="0" applyNumberFormat="1"/>
    <xf numFmtId="0" fontId="28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5" fillId="0" borderId="1" xfId="0" applyFont="1" applyFill="1" applyBorder="1" applyAlignment="1">
      <alignment wrapText="1"/>
    </xf>
    <xf numFmtId="0" fontId="0" fillId="0" borderId="0" xfId="0" applyFont="1" applyFill="1"/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49" fontId="5" fillId="0" borderId="1" xfId="0" applyNumberFormat="1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49" fontId="6" fillId="0" borderId="1" xfId="0" applyNumberFormat="1" applyFont="1" applyFill="1" applyBorder="1" applyAlignment="1">
      <alignment wrapText="1"/>
    </xf>
    <xf numFmtId="0" fontId="4" fillId="0" borderId="12" xfId="0" applyFont="1" applyBorder="1" applyAlignment="1">
      <alignment horizontal="left" wrapText="1"/>
    </xf>
    <xf numFmtId="0" fontId="7" fillId="0" borderId="12" xfId="0" applyFont="1" applyBorder="1" applyAlignment="1">
      <alignment wrapText="1"/>
    </xf>
    <xf numFmtId="49" fontId="7" fillId="0" borderId="12" xfId="0" applyNumberFormat="1" applyFont="1" applyBorder="1" applyAlignment="1">
      <alignment wrapText="1"/>
    </xf>
    <xf numFmtId="49" fontId="4" fillId="0" borderId="12" xfId="0" applyNumberFormat="1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7" fillId="0" borderId="12" xfId="0" applyFont="1" applyBorder="1" applyAlignment="1">
      <alignment horizontal="left" wrapText="1"/>
    </xf>
    <xf numFmtId="0" fontId="5" fillId="0" borderId="12" xfId="0" applyFont="1" applyFill="1" applyBorder="1" applyAlignment="1">
      <alignment wrapText="1"/>
    </xf>
    <xf numFmtId="0" fontId="6" fillId="0" borderId="12" xfId="0" applyFont="1" applyFill="1" applyBorder="1" applyAlignment="1">
      <alignment horizontal="left" wrapText="1"/>
    </xf>
    <xf numFmtId="0" fontId="5" fillId="0" borderId="12" xfId="0" applyFont="1" applyBorder="1" applyAlignment="1">
      <alignment wrapText="1"/>
    </xf>
    <xf numFmtId="49" fontId="6" fillId="0" borderId="12" xfId="0" applyNumberFormat="1" applyFont="1" applyBorder="1" applyAlignment="1">
      <alignment wrapText="1"/>
    </xf>
    <xf numFmtId="0" fontId="5" fillId="0" borderId="12" xfId="0" applyFont="1" applyFill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49" fontId="5" fillId="0" borderId="12" xfId="0" applyNumberFormat="1" applyFont="1" applyFill="1" applyBorder="1" applyAlignment="1">
      <alignment wrapText="1"/>
    </xf>
    <xf numFmtId="0" fontId="6" fillId="0" borderId="12" xfId="0" applyFont="1" applyFill="1" applyBorder="1" applyAlignment="1">
      <alignment wrapText="1"/>
    </xf>
    <xf numFmtId="49" fontId="6" fillId="0" borderId="12" xfId="0" applyNumberFormat="1" applyFont="1" applyFill="1" applyBorder="1" applyAlignment="1">
      <alignment wrapText="1"/>
    </xf>
    <xf numFmtId="0" fontId="5" fillId="0" borderId="12" xfId="0" applyFont="1" applyBorder="1" applyAlignment="1">
      <alignment horizontal="left" wrapText="1"/>
    </xf>
    <xf numFmtId="49" fontId="5" fillId="0" borderId="12" xfId="0" applyNumberFormat="1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9" fillId="0" borderId="12" xfId="0" applyFont="1" applyBorder="1" applyAlignment="1">
      <alignment horizontal="left" wrapText="1"/>
    </xf>
    <xf numFmtId="49" fontId="9" fillId="0" borderId="12" xfId="0" applyNumberFormat="1" applyFont="1" applyBorder="1" applyAlignment="1">
      <alignment wrapText="1"/>
    </xf>
    <xf numFmtId="49" fontId="8" fillId="0" borderId="12" xfId="0" applyNumberFormat="1" applyFont="1" applyBorder="1" applyAlignment="1">
      <alignment wrapText="1"/>
    </xf>
    <xf numFmtId="0" fontId="6" fillId="0" borderId="12" xfId="0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0" fontId="9" fillId="0" borderId="12" xfId="0" applyFont="1" applyBorder="1" applyAlignment="1">
      <alignment wrapText="1"/>
    </xf>
    <xf numFmtId="0" fontId="8" fillId="0" borderId="12" xfId="0" applyFont="1" applyBorder="1" applyAlignment="1">
      <alignment horizontal="left" wrapText="1"/>
    </xf>
    <xf numFmtId="0" fontId="5" fillId="33" borderId="12" xfId="0" applyFont="1" applyFill="1" applyBorder="1" applyAlignment="1">
      <alignment wrapText="1"/>
    </xf>
    <xf numFmtId="0" fontId="6" fillId="33" borderId="12" xfId="0" applyFont="1" applyFill="1" applyBorder="1" applyAlignment="1">
      <alignment horizontal="left" wrapText="1"/>
    </xf>
    <xf numFmtId="49" fontId="6" fillId="33" borderId="12" xfId="0" applyNumberFormat="1" applyFont="1" applyFill="1" applyBorder="1" applyAlignment="1">
      <alignment wrapText="1"/>
    </xf>
    <xf numFmtId="49" fontId="5" fillId="33" borderId="12" xfId="0" applyNumberFormat="1" applyFont="1" applyFill="1" applyBorder="1" applyAlignment="1">
      <alignment wrapText="1"/>
    </xf>
    <xf numFmtId="0" fontId="6" fillId="33" borderId="12" xfId="0" applyFont="1" applyFill="1" applyBorder="1" applyAlignment="1">
      <alignment wrapText="1"/>
    </xf>
    <xf numFmtId="0" fontId="5" fillId="33" borderId="12" xfId="0" applyFont="1" applyFill="1" applyBorder="1" applyAlignment="1">
      <alignment horizontal="left" wrapText="1"/>
    </xf>
    <xf numFmtId="49" fontId="6" fillId="33" borderId="12" xfId="0" applyNumberFormat="1" applyFont="1" applyFill="1" applyBorder="1" applyAlignment="1">
      <alignment horizontal="left" wrapText="1"/>
    </xf>
    <xf numFmtId="0" fontId="5" fillId="33" borderId="12" xfId="34" applyFont="1" applyFill="1" applyBorder="1" applyAlignment="1">
      <alignment wrapText="1"/>
    </xf>
    <xf numFmtId="0" fontId="9" fillId="33" borderId="12" xfId="35" applyFont="1" applyFill="1" applyBorder="1" applyAlignment="1">
      <alignment wrapText="1"/>
    </xf>
    <xf numFmtId="49" fontId="9" fillId="33" borderId="12" xfId="35" applyNumberFormat="1" applyFont="1" applyFill="1" applyBorder="1" applyAlignment="1">
      <alignment wrapText="1"/>
    </xf>
    <xf numFmtId="0" fontId="9" fillId="33" borderId="12" xfId="35" applyFont="1" applyFill="1" applyBorder="1" applyAlignment="1">
      <alignment horizontal="left" wrapText="1"/>
    </xf>
    <xf numFmtId="0" fontId="8" fillId="33" borderId="12" xfId="35" applyFont="1" applyFill="1" applyBorder="1" applyAlignment="1">
      <alignment wrapText="1"/>
    </xf>
    <xf numFmtId="49" fontId="8" fillId="33" borderId="12" xfId="35" applyNumberFormat="1" applyFont="1" applyFill="1" applyBorder="1" applyAlignment="1">
      <alignment wrapText="1"/>
    </xf>
    <xf numFmtId="0" fontId="8" fillId="33" borderId="12" xfId="35" applyFont="1" applyFill="1" applyBorder="1" applyAlignment="1">
      <alignment horizontal="left" wrapText="1"/>
    </xf>
    <xf numFmtId="49" fontId="6" fillId="0" borderId="12" xfId="0" applyNumberFormat="1" applyFont="1" applyBorder="1" applyAlignment="1">
      <alignment horizontal="left" wrapText="1"/>
    </xf>
    <xf numFmtId="49" fontId="9" fillId="0" borderId="12" xfId="0" applyNumberFormat="1" applyFont="1" applyBorder="1" applyAlignment="1">
      <alignment horizontal="left" wrapText="1"/>
    </xf>
    <xf numFmtId="0" fontId="1" fillId="34" borderId="0" xfId="0" applyFont="1" applyFill="1"/>
    <xf numFmtId="0" fontId="1" fillId="34" borderId="1" xfId="0" applyFont="1" applyFill="1" applyBorder="1"/>
    <xf numFmtId="0" fontId="3" fillId="34" borderId="1" xfId="0" applyFont="1" applyFill="1" applyBorder="1" applyAlignment="1">
      <alignment horizontal="left" wrapText="1"/>
    </xf>
    <xf numFmtId="0" fontId="2" fillId="34" borderId="1" xfId="0" applyFont="1" applyFill="1" applyBorder="1" applyAlignment="1">
      <alignment wrapText="1"/>
    </xf>
    <xf numFmtId="0" fontId="0" fillId="0" borderId="1" xfId="0" applyNumberFormat="1" applyBorder="1"/>
  </cellXfs>
  <cellStyles count="46">
    <cellStyle name="20% - Colore 1" xfId="17" builtinId="30" customBuiltin="1"/>
    <cellStyle name="20% - Colore 2" xfId="20" builtinId="34" customBuiltin="1"/>
    <cellStyle name="20% - Colore 3" xfId="23" builtinId="38" customBuiltin="1"/>
    <cellStyle name="20% - Colore 4" xfId="26" builtinId="42" customBuiltin="1"/>
    <cellStyle name="20% - Colore 5" xfId="29" builtinId="46" customBuiltin="1"/>
    <cellStyle name="20% - Colore 6" xfId="32" builtinId="50" customBuiltin="1"/>
    <cellStyle name="40% - Colore 1" xfId="18" builtinId="31" customBuiltin="1"/>
    <cellStyle name="40% - Colore 2" xfId="21" builtinId="35" customBuiltin="1"/>
    <cellStyle name="40% - Colore 3" xfId="24" builtinId="39" customBuiltin="1"/>
    <cellStyle name="40% - Colore 4" xfId="27" builtinId="43" customBuiltin="1"/>
    <cellStyle name="40% - Colore 5" xfId="30" builtinId="47" customBuiltin="1"/>
    <cellStyle name="40% - Colore 6" xfId="33" builtinId="51" customBuiltin="1"/>
    <cellStyle name="60% - Colore 1 2" xfId="36" xr:uid="{F87CE755-DF65-4046-B71C-1CE75BB2CD56}"/>
    <cellStyle name="60% - Colore 2 2" xfId="37" xr:uid="{720AF7C0-82CF-42A4-8797-CCF7F60F6D2C}"/>
    <cellStyle name="60% - Colore 3 2" xfId="38" xr:uid="{D28FCD3C-A380-4F32-830C-12762508383B}"/>
    <cellStyle name="60% - Colore 4 2" xfId="39" xr:uid="{2F2B7E93-9F8C-4692-8545-8CCCA2C3A3A6}"/>
    <cellStyle name="60% - Colore 5 2" xfId="40" xr:uid="{16633F50-B647-4119-AE00-0599AB7B206E}"/>
    <cellStyle name="60% - Colore 6 2" xfId="41" xr:uid="{0C103192-B182-4760-9E17-A4BC250B42EE}"/>
    <cellStyle name="Calcolo" xfId="10" builtinId="22" customBuiltin="1"/>
    <cellStyle name="Cella collegata" xfId="11" builtinId="24" customBuiltin="1"/>
    <cellStyle name="Cella da controllare" xfId="12" builtinId="23" customBuiltin="1"/>
    <cellStyle name="Collegamento ipertestuale 2" xfId="42" xr:uid="{319E53EC-F955-4B0A-8289-FEEDBBD7F246}"/>
    <cellStyle name="Colore 1" xfId="16" builtinId="29" customBuiltin="1"/>
    <cellStyle name="Colore 2" xfId="19" builtinId="33" customBuiltin="1"/>
    <cellStyle name="Colore 3" xfId="22" builtinId="37" customBuiltin="1"/>
    <cellStyle name="Colore 4" xfId="25" builtinId="41" customBuiltin="1"/>
    <cellStyle name="Colore 5" xfId="28" builtinId="45" customBuiltin="1"/>
    <cellStyle name="Colore 6" xfId="31" builtinId="49" customBuiltin="1"/>
    <cellStyle name="Input" xfId="8" builtinId="20" customBuiltin="1"/>
    <cellStyle name="Neutrale 2" xfId="43" xr:uid="{430B9B9A-CE3D-4F8D-B312-39A6DB9B9254}"/>
    <cellStyle name="Normale" xfId="0" builtinId="0"/>
    <cellStyle name="Normale 2" xfId="44" xr:uid="{2228451D-3D14-47DD-944C-8A1C272DF04C}"/>
    <cellStyle name="Normale 3" xfId="35" xr:uid="{87D611D8-539C-48A3-9F6D-2E3EC8959065}"/>
    <cellStyle name="Normale_Foglio1" xfId="34" xr:uid="{2BCF0F23-0862-4515-BE41-DD516D5DBABE}"/>
    <cellStyle name="Nota 2" xfId="45" xr:uid="{5AD449ED-0E0A-4383-A81C-886B66F9A076}"/>
    <cellStyle name="Output" xfId="9" builtinId="21" customBuiltin="1"/>
    <cellStyle name="Testo avviso" xfId="13" builtinId="11" customBuiltin="1"/>
    <cellStyle name="Testo descrittivo" xfId="14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5" builtinId="25" customBuiltin="1"/>
    <cellStyle name="Valore non valido" xfId="7" builtinId="27" customBuiltin="1"/>
    <cellStyle name="Valore valido" xfId="6" builtinId="26" customBuiltin="1"/>
  </cellStyles>
  <dxfs count="14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Global.xlsx]GSLM 11-2025!Tabella pivot6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'GSLM 11-2025'!$G$1</c:f>
              <c:strCache>
                <c:ptCount val="1"/>
                <c:pt idx="0">
                  <c:v>Somma di WMS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'GSLM 11-2025'!$G$2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11-2025'!$G$2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7-4DD5-BABC-08C2DE47ACCB}"/>
            </c:ext>
          </c:extLst>
        </c:ser>
        <c:ser>
          <c:idx val="1"/>
          <c:order val="1"/>
          <c:tx>
            <c:strRef>
              <c:f>'GSLM 11-2025'!$H$1</c:f>
              <c:strCache>
                <c:ptCount val="1"/>
                <c:pt idx="0">
                  <c:v>Somma di SELEZIONATA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'GSLM 11-2025'!$G$2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11-2025'!$H$2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97-4DD5-BABC-08C2DE47ACCB}"/>
            </c:ext>
          </c:extLst>
        </c:ser>
        <c:ser>
          <c:idx val="2"/>
          <c:order val="2"/>
          <c:tx>
            <c:strRef>
              <c:f>'GSLM 11-2025'!$I$1</c:f>
              <c:strCache>
                <c:ptCount val="1"/>
                <c:pt idx="0">
                  <c:v>Somma di INCONTRATA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'GSLM 11-2025'!$G$2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11-2025'!$I$2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97-4DD5-BABC-08C2DE47ACCB}"/>
            </c:ext>
          </c:extLst>
        </c:ser>
        <c:ser>
          <c:idx val="3"/>
          <c:order val="3"/>
          <c:tx>
            <c:strRef>
              <c:f>'GSLM 11-2025'!$J$1</c:f>
              <c:strCache>
                <c:ptCount val="1"/>
                <c:pt idx="0">
                  <c:v>Somma di CALL/VISITA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'GSLM 11-2025'!$G$2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11-2025'!$J$2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97-4DD5-BABC-08C2DE47A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531248"/>
        <c:axId val="1482529808"/>
      </c:barChart>
      <c:catAx>
        <c:axId val="148253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2529808"/>
        <c:crosses val="autoZero"/>
        <c:auto val="1"/>
        <c:lblAlgn val="ctr"/>
        <c:lblOffset val="100"/>
        <c:noMultiLvlLbl val="0"/>
      </c:catAx>
      <c:valAx>
        <c:axId val="148252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253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Global.xlsx]GSLS 03-2025!Tabella pivot8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'GSLS 03-2025'!$G$1</c:f>
              <c:strCache>
                <c:ptCount val="1"/>
                <c:pt idx="0">
                  <c:v>Somma di WMS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'GSLS 03-2025'!$G$2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03-2025'!$G$2</c:f>
              <c:numCache>
                <c:formatCode>General</c:formatCode>
                <c:ptCount val="1"/>
                <c:pt idx="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5-4087-BD03-094013A6F1F4}"/>
            </c:ext>
          </c:extLst>
        </c:ser>
        <c:ser>
          <c:idx val="1"/>
          <c:order val="1"/>
          <c:tx>
            <c:strRef>
              <c:f>'GSLS 03-2025'!$H$1</c:f>
              <c:strCache>
                <c:ptCount val="1"/>
                <c:pt idx="0">
                  <c:v>Somma di SELEZIONATA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'GSLS 03-2025'!$G$2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03-2025'!$H$2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5-4087-BD03-094013A6F1F4}"/>
            </c:ext>
          </c:extLst>
        </c:ser>
        <c:ser>
          <c:idx val="2"/>
          <c:order val="2"/>
          <c:tx>
            <c:strRef>
              <c:f>'GSLS 03-2025'!$I$1</c:f>
              <c:strCache>
                <c:ptCount val="1"/>
                <c:pt idx="0">
                  <c:v>Somma di INCONTRATA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'GSLS 03-2025'!$G$2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03-2025'!$I$2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E5-4087-BD03-094013A6F1F4}"/>
            </c:ext>
          </c:extLst>
        </c:ser>
        <c:ser>
          <c:idx val="3"/>
          <c:order val="3"/>
          <c:tx>
            <c:strRef>
              <c:f>'GSLS 03-2025'!$J$1</c:f>
              <c:strCache>
                <c:ptCount val="1"/>
                <c:pt idx="0">
                  <c:v>Somma di CALL/VISITA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'GSLS 03-2025'!$G$2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03-2025'!$J$2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E5-4087-BD03-094013A6F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1554016"/>
        <c:axId val="1891557376"/>
      </c:barChart>
      <c:catAx>
        <c:axId val="18915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1557376"/>
        <c:crosses val="autoZero"/>
        <c:auto val="1"/>
        <c:lblAlgn val="ctr"/>
        <c:lblOffset val="100"/>
        <c:noMultiLvlLbl val="0"/>
      </c:catAx>
      <c:valAx>
        <c:axId val="189155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155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Global.xlsx]GSLS 05-2024!Tabella pivot4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'GSLS 05-2024'!$G$1</c:f>
              <c:strCache>
                <c:ptCount val="1"/>
                <c:pt idx="0">
                  <c:v>Somma di WMS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'GSLS 05-2024'!$G$2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05-2024'!$G$2</c:f>
              <c:numCache>
                <c:formatCode>General</c:formatCode>
                <c:ptCount val="1"/>
                <c:pt idx="0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4-46EC-9A86-0A6097916B6C}"/>
            </c:ext>
          </c:extLst>
        </c:ser>
        <c:ser>
          <c:idx val="1"/>
          <c:order val="1"/>
          <c:tx>
            <c:strRef>
              <c:f>'GSLS 05-2024'!$H$1</c:f>
              <c:strCache>
                <c:ptCount val="1"/>
                <c:pt idx="0">
                  <c:v>Somma di SELEZIONATA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'GSLS 05-2024'!$G$2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05-2024'!$H$2</c:f>
              <c:numCache>
                <c:formatCode>General</c:formatCode>
                <c:ptCount val="1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04-46EC-9A86-0A6097916B6C}"/>
            </c:ext>
          </c:extLst>
        </c:ser>
        <c:ser>
          <c:idx val="2"/>
          <c:order val="2"/>
          <c:tx>
            <c:strRef>
              <c:f>'GSLS 05-2024'!$I$1</c:f>
              <c:strCache>
                <c:ptCount val="1"/>
                <c:pt idx="0">
                  <c:v>Somma di INCONTRATA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'GSLS 05-2024'!$G$2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05-2024'!$I$2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04-46EC-9A86-0A6097916B6C}"/>
            </c:ext>
          </c:extLst>
        </c:ser>
        <c:ser>
          <c:idx val="3"/>
          <c:order val="3"/>
          <c:tx>
            <c:strRef>
              <c:f>'GSLS 05-2024'!$J$1</c:f>
              <c:strCache>
                <c:ptCount val="1"/>
                <c:pt idx="0">
                  <c:v>Conteggio di CALL/VISITA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'GSLS 05-2024'!$G$2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05-2024'!$J$2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8F04-46EC-9A86-0A6097916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391744"/>
        <c:axId val="1306390784"/>
      </c:barChart>
      <c:catAx>
        <c:axId val="130639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6390784"/>
        <c:crosses val="autoZero"/>
        <c:auto val="1"/>
        <c:lblAlgn val="ctr"/>
        <c:lblOffset val="100"/>
        <c:noMultiLvlLbl val="0"/>
      </c:catAx>
      <c:valAx>
        <c:axId val="130639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639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Global.xlsx]GSLM 11-2024!Tabella pivot5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'GSLM 11-2024'!$G$1</c:f>
              <c:strCache>
                <c:ptCount val="1"/>
                <c:pt idx="0">
                  <c:v>Somma di WMS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'GSLM 11-2024'!$G$2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11-2024'!$G$2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B-4BAC-9584-D9D639D38234}"/>
            </c:ext>
          </c:extLst>
        </c:ser>
        <c:ser>
          <c:idx val="1"/>
          <c:order val="1"/>
          <c:tx>
            <c:strRef>
              <c:f>'GSLM 11-2024'!$H$1</c:f>
              <c:strCache>
                <c:ptCount val="1"/>
                <c:pt idx="0">
                  <c:v>Somma di SELEZIONATA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'GSLM 11-2024'!$G$2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11-2024'!$H$2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4B-4BAC-9584-D9D639D38234}"/>
            </c:ext>
          </c:extLst>
        </c:ser>
        <c:ser>
          <c:idx val="2"/>
          <c:order val="2"/>
          <c:tx>
            <c:strRef>
              <c:f>'GSLM 11-2024'!$I$1</c:f>
              <c:strCache>
                <c:ptCount val="1"/>
                <c:pt idx="0">
                  <c:v>Somma di INCONTRATA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'GSLM 11-2024'!$G$2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11-2024'!$I$2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4B-4BAC-9584-D9D639D38234}"/>
            </c:ext>
          </c:extLst>
        </c:ser>
        <c:ser>
          <c:idx val="3"/>
          <c:order val="3"/>
          <c:tx>
            <c:strRef>
              <c:f>'GSLM 11-2024'!$J$1</c:f>
              <c:strCache>
                <c:ptCount val="1"/>
                <c:pt idx="0">
                  <c:v>Somma di CALL/VISITA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'GSLM 11-2024'!$G$2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11-2024'!$J$2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4B-4BAC-9584-D9D639D38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103280"/>
        <c:axId val="1847103760"/>
      </c:barChart>
      <c:catAx>
        <c:axId val="184710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7103760"/>
        <c:crosses val="autoZero"/>
        <c:auto val="1"/>
        <c:lblAlgn val="ctr"/>
        <c:lblOffset val="100"/>
        <c:noMultiLvlLbl val="0"/>
      </c:catAx>
      <c:valAx>
        <c:axId val="184710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710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Global.xlsx]GSLS 03-2023!Tabella pivot7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'GSLS 03-2023'!$G$1</c:f>
              <c:strCache>
                <c:ptCount val="1"/>
                <c:pt idx="0">
                  <c:v>Somma di WMS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'GSLS 03-2023'!$G$2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03-2023'!$G$2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D-4686-9016-A1C1E26EDAB1}"/>
            </c:ext>
          </c:extLst>
        </c:ser>
        <c:ser>
          <c:idx val="1"/>
          <c:order val="1"/>
          <c:tx>
            <c:strRef>
              <c:f>'GSLS 03-2023'!$H$1</c:f>
              <c:strCache>
                <c:ptCount val="1"/>
                <c:pt idx="0">
                  <c:v>Somma di SELEZIONATA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'GSLS 03-2023'!$G$2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03-2023'!$H$2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D-4686-9016-A1C1E26EDAB1}"/>
            </c:ext>
          </c:extLst>
        </c:ser>
        <c:ser>
          <c:idx val="2"/>
          <c:order val="2"/>
          <c:tx>
            <c:strRef>
              <c:f>'GSLS 03-2023'!$I$1</c:f>
              <c:strCache>
                <c:ptCount val="1"/>
                <c:pt idx="0">
                  <c:v>Somma di INCONTRATA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'GSLS 03-2023'!$G$2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03-2023'!$I$2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3D-4686-9016-A1C1E26EDAB1}"/>
            </c:ext>
          </c:extLst>
        </c:ser>
        <c:ser>
          <c:idx val="3"/>
          <c:order val="3"/>
          <c:tx>
            <c:strRef>
              <c:f>'GSLS 03-2023'!$J$1</c:f>
              <c:strCache>
                <c:ptCount val="1"/>
                <c:pt idx="0">
                  <c:v>Somma di CALL/VISITA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'GSLS 03-2023'!$G$2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'GSLS 03-2023'!$J$2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3D-4686-9016-A1C1E26E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927632"/>
        <c:axId val="2119913712"/>
      </c:barChart>
      <c:catAx>
        <c:axId val="211992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9913712"/>
        <c:crosses val="autoZero"/>
        <c:auto val="1"/>
        <c:lblAlgn val="ctr"/>
        <c:lblOffset val="100"/>
        <c:noMultiLvlLbl val="0"/>
      </c:catAx>
      <c:valAx>
        <c:axId val="21199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992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Global.xlsx]GSLM 11-2023!Tabella pivot3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'GSLM 11-2023'!$I$1</c:f>
              <c:strCache>
                <c:ptCount val="1"/>
                <c:pt idx="0">
                  <c:v>Somma di WMS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'GSLM 11-2023'!$I$2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11-2023'!$I$2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9-466C-8F5D-8D7725F0A2C9}"/>
            </c:ext>
          </c:extLst>
        </c:ser>
        <c:ser>
          <c:idx val="1"/>
          <c:order val="1"/>
          <c:tx>
            <c:strRef>
              <c:f>'GSLM 11-2023'!$J$1</c:f>
              <c:strCache>
                <c:ptCount val="1"/>
                <c:pt idx="0">
                  <c:v>Somma di SELEZIONATA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'GSLM 11-2023'!$I$2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11-2023'!$J$2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09-466C-8F5D-8D7725F0A2C9}"/>
            </c:ext>
          </c:extLst>
        </c:ser>
        <c:ser>
          <c:idx val="2"/>
          <c:order val="2"/>
          <c:tx>
            <c:strRef>
              <c:f>'GSLM 11-2023'!$K$1</c:f>
              <c:strCache>
                <c:ptCount val="1"/>
                <c:pt idx="0">
                  <c:v>Somma di INCONTRATA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'GSLM 11-2023'!$I$2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11-2023'!$K$2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09-466C-8F5D-8D7725F0A2C9}"/>
            </c:ext>
          </c:extLst>
        </c:ser>
        <c:ser>
          <c:idx val="3"/>
          <c:order val="3"/>
          <c:tx>
            <c:strRef>
              <c:f>'GSLM 11-2023'!$L$1</c:f>
              <c:strCache>
                <c:ptCount val="1"/>
                <c:pt idx="0">
                  <c:v>Somma di CALL/VISITA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'GSLM 11-2023'!$I$2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11-2023'!$L$2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09-466C-8F5D-8D7725F0A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029072"/>
        <c:axId val="1154026672"/>
      </c:barChart>
      <c:catAx>
        <c:axId val="115402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4026672"/>
        <c:crosses val="autoZero"/>
        <c:auto val="1"/>
        <c:lblAlgn val="ctr"/>
        <c:lblOffset val="100"/>
        <c:noMultiLvlLbl val="0"/>
      </c:catAx>
      <c:valAx>
        <c:axId val="11540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402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Global.xlsx]GSLM 11-2022!Tabella pivot1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'GSLM 11-2022'!$H$1</c:f>
              <c:strCache>
                <c:ptCount val="1"/>
                <c:pt idx="0">
                  <c:v>Somma di WMS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'GSLM 11-2022'!$H$2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11-2022'!$H$2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6-4E3F-8823-D28FD2F5C013}"/>
            </c:ext>
          </c:extLst>
        </c:ser>
        <c:ser>
          <c:idx val="1"/>
          <c:order val="1"/>
          <c:tx>
            <c:strRef>
              <c:f>'GSLM 11-2022'!$I$1</c:f>
              <c:strCache>
                <c:ptCount val="1"/>
                <c:pt idx="0">
                  <c:v>Somma di SELEZIONATA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'GSLM 11-2022'!$H$2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11-2022'!$I$2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A6-4E3F-8823-D28FD2F5C013}"/>
            </c:ext>
          </c:extLst>
        </c:ser>
        <c:ser>
          <c:idx val="2"/>
          <c:order val="2"/>
          <c:tx>
            <c:strRef>
              <c:f>'GSLM 11-2022'!$J$1</c:f>
              <c:strCache>
                <c:ptCount val="1"/>
                <c:pt idx="0">
                  <c:v>Somma di INCONTRATA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'GSLM 11-2022'!$H$2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11-2022'!$J$2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A6-4E3F-8823-D28FD2F5C013}"/>
            </c:ext>
          </c:extLst>
        </c:ser>
        <c:ser>
          <c:idx val="3"/>
          <c:order val="3"/>
          <c:tx>
            <c:strRef>
              <c:f>'GSLM 11-2022'!$K$1</c:f>
              <c:strCache>
                <c:ptCount val="1"/>
                <c:pt idx="0">
                  <c:v>Somma di CALL/VISITA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'GSLM 11-2022'!$H$2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'GSLM 11-2022'!$K$2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A6-4E3F-8823-D28FD2F5C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110544"/>
        <c:axId val="1847111024"/>
      </c:barChart>
      <c:catAx>
        <c:axId val="18471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7111024"/>
        <c:crosses val="autoZero"/>
        <c:auto val="1"/>
        <c:lblAlgn val="ctr"/>
        <c:lblOffset val="100"/>
        <c:noMultiLvlLbl val="0"/>
      </c:catAx>
      <c:valAx>
        <c:axId val="18471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711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52386</xdr:colOff>
      <xdr:row>3</xdr:row>
      <xdr:rowOff>90486</xdr:rowOff>
    </xdr:from>
    <xdr:to>
      <xdr:col>9</xdr:col>
      <xdr:colOff>1419224</xdr:colOff>
      <xdr:row>19</xdr:row>
      <xdr:rowOff>76199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804164E-720E-9B71-C4D3-B61AEDA6E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5</xdr:row>
      <xdr:rowOff>14286</xdr:rowOff>
    </xdr:from>
    <xdr:to>
      <xdr:col>10</xdr:col>
      <xdr:colOff>9524</xdr:colOff>
      <xdr:row>22</xdr:row>
      <xdr:rowOff>228599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A8C56C4-6D6A-8BEA-269E-20CE5D5A8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2</xdr:row>
      <xdr:rowOff>185737</xdr:rowOff>
    </xdr:from>
    <xdr:to>
      <xdr:col>10</xdr:col>
      <xdr:colOff>0</xdr:colOff>
      <xdr:row>18</xdr:row>
      <xdr:rowOff>9525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7E339EC-E021-09F3-031F-90BC4FBD5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4</xdr:row>
      <xdr:rowOff>4761</xdr:rowOff>
    </xdr:from>
    <xdr:to>
      <xdr:col>10</xdr:col>
      <xdr:colOff>19051</xdr:colOff>
      <xdr:row>19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DF1CF12-A3DD-E498-DAB6-52AE6BE0F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976312</xdr:colOff>
      <xdr:row>2</xdr:row>
      <xdr:rowOff>185737</xdr:rowOff>
    </xdr:from>
    <xdr:to>
      <xdr:col>10</xdr:col>
      <xdr:colOff>466725</xdr:colOff>
      <xdr:row>21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23DE079-F83A-470D-DF23-7A557780A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5</xdr:row>
      <xdr:rowOff>14286</xdr:rowOff>
    </xdr:from>
    <xdr:to>
      <xdr:col>11</xdr:col>
      <xdr:colOff>1409700</xdr:colOff>
      <xdr:row>22</xdr:row>
      <xdr:rowOff>123824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4258ED-2B8F-01A9-98C9-4A5BE6EA7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</xdr:row>
      <xdr:rowOff>4762</xdr:rowOff>
    </xdr:from>
    <xdr:to>
      <xdr:col>11</xdr:col>
      <xdr:colOff>9525</xdr:colOff>
      <xdr:row>14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F6AAB76-60D5-52CC-8051-4819A9CB3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Rocchetto" refreshedDate="46083.411207986108" createdVersion="8" refreshedVersion="8" minRefreshableVersion="3" recordCount="136" xr:uid="{3D72B7C5-7341-4501-8ADA-AB1583AB02FD}">
  <cacheSource type="worksheet">
    <worksheetSource ref="B1:E137" sheet="GSLM 11-2023"/>
  </cacheSource>
  <cacheFields count="4">
    <cacheField name="WMS" numFmtId="0">
      <sharedItems containsString="0" containsBlank="1" containsNumber="1" containsInteger="1" minValue="1" maxValue="1"/>
    </cacheField>
    <cacheField name="SELEZIONATA" numFmtId="0">
      <sharedItems containsString="0" containsBlank="1" containsNumber="1" containsInteger="1" minValue="1" maxValue="1"/>
    </cacheField>
    <cacheField name="INCONTRATA" numFmtId="0">
      <sharedItems containsString="0" containsBlank="1" containsNumber="1" containsInteger="1" minValue="1" maxValue="1"/>
    </cacheField>
    <cacheField name="CALL/VISITA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Rocchetto" refreshedDate="46083.491130787035" createdVersion="8" refreshedVersion="8" minRefreshableVersion="3" recordCount="113" xr:uid="{322BD57B-8F3B-48F0-A196-FD861236625A}">
  <cacheSource type="worksheet">
    <worksheetSource ref="B1:E114" sheet="GSLM 11-2022"/>
  </cacheSource>
  <cacheFields count="4">
    <cacheField name="WMS" numFmtId="0">
      <sharedItems containsString="0" containsBlank="1" containsNumber="1" containsInteger="1" minValue="1" maxValue="1"/>
    </cacheField>
    <cacheField name="SELEZIONATA" numFmtId="0">
      <sharedItems containsString="0" containsBlank="1" containsNumber="1" containsInteger="1" minValue="1" maxValue="1"/>
    </cacheField>
    <cacheField name="INCONTRATA" numFmtId="0">
      <sharedItems containsString="0" containsBlank="1" containsNumber="1" containsInteger="1" minValue="1" maxValue="1"/>
    </cacheField>
    <cacheField name="CALL/VISITA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Rocchetto" refreshedDate="46083.497841550925" createdVersion="8" refreshedVersion="8" minRefreshableVersion="3" recordCount="167" xr:uid="{C6465ADE-AD79-4269-A7DF-1277B111B9CC}">
  <cacheSource type="worksheet">
    <worksheetSource ref="B1:E168" sheet="GSLS 05-2024"/>
  </cacheSource>
  <cacheFields count="4">
    <cacheField name="WMS" numFmtId="0">
      <sharedItems containsString="0" containsBlank="1" containsNumber="1" containsInteger="1" minValue="1" maxValue="1"/>
    </cacheField>
    <cacheField name="SELEZIONATA" numFmtId="0">
      <sharedItems containsString="0" containsBlank="1" containsNumber="1" containsInteger="1" minValue="1" maxValue="1"/>
    </cacheField>
    <cacheField name="INCONTRATA" numFmtId="0">
      <sharedItems containsString="0" containsBlank="1" containsNumber="1" containsInteger="1" minValue="1" maxValue="1"/>
    </cacheField>
    <cacheField name="CALL/VISITA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Rocchetto" refreshedDate="46083.501107060183" createdVersion="8" refreshedVersion="8" minRefreshableVersion="3" recordCount="120" xr:uid="{CAB3DB77-D7C2-4786-A639-CA9C8425D3F1}">
  <cacheSource type="worksheet">
    <worksheetSource ref="B1:E121" sheet="GSLM 11-2024"/>
  </cacheSource>
  <cacheFields count="4">
    <cacheField name="WMS" numFmtId="0">
      <sharedItems containsString="0" containsBlank="1" containsNumber="1" containsInteger="1" minValue="1" maxValue="1"/>
    </cacheField>
    <cacheField name="SELEZIONATA" numFmtId="0">
      <sharedItems containsString="0" containsBlank="1" containsNumber="1" containsInteger="1" minValue="1" maxValue="1"/>
    </cacheField>
    <cacheField name="INCONTRATA" numFmtId="0">
      <sharedItems containsString="0" containsBlank="1" containsNumber="1" containsInteger="1" minValue="1" maxValue="1"/>
    </cacheField>
    <cacheField name="CALL/VISITA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Rocchetto" refreshedDate="46083.504225694443" createdVersion="8" refreshedVersion="8" minRefreshableVersion="3" recordCount="124" xr:uid="{44FC7589-4818-4C73-9FE3-0F534F86EC87}">
  <cacheSource type="worksheet">
    <worksheetSource ref="B1:E125" sheet="GSLM 11-2025"/>
  </cacheSource>
  <cacheFields count="4">
    <cacheField name="WMS" numFmtId="0">
      <sharedItems containsString="0" containsBlank="1" containsNumber="1" containsInteger="1" minValue="1" maxValue="1"/>
    </cacheField>
    <cacheField name="SELEZIONATA" numFmtId="0">
      <sharedItems containsString="0" containsBlank="1" containsNumber="1" containsInteger="1" minValue="1" maxValue="1"/>
    </cacheField>
    <cacheField name="INCONTRATA" numFmtId="0">
      <sharedItems containsString="0" containsBlank="1" containsNumber="1" containsInteger="1" minValue="1" maxValue="1"/>
    </cacheField>
    <cacheField name="CALL/VISITA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Rocchetto" refreshedDate="46083.506453703703" createdVersion="8" refreshedVersion="8" minRefreshableVersion="3" recordCount="121" xr:uid="{C66CC612-8604-4910-AF16-0C1E291F776D}">
  <cacheSource type="worksheet">
    <worksheetSource ref="B1:E122" sheet="GSLS 03-2023"/>
  </cacheSource>
  <cacheFields count="4">
    <cacheField name="WMS" numFmtId="0">
      <sharedItems containsString="0" containsBlank="1" containsNumber="1" containsInteger="1" minValue="1" maxValue="1"/>
    </cacheField>
    <cacheField name="SELEZIONATA" numFmtId="0">
      <sharedItems containsString="0" containsBlank="1" containsNumber="1" containsInteger="1" minValue="1" maxValue="1"/>
    </cacheField>
    <cacheField name="INCONTRATA" numFmtId="0">
      <sharedItems containsString="0" containsBlank="1" containsNumber="1" containsInteger="1" minValue="1" maxValue="1"/>
    </cacheField>
    <cacheField name="CALL/VISITA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Rocchetto" refreshedDate="46083.576761574077" createdVersion="8" refreshedVersion="8" minRefreshableVersion="3" recordCount="138" xr:uid="{C32FE020-1E5D-4FF8-885F-0C42548012E8}">
  <cacheSource type="worksheet">
    <worksheetSource ref="B1:E139" sheet="GSLS 03-2025"/>
  </cacheSource>
  <cacheFields count="4">
    <cacheField name="WMS" numFmtId="0">
      <sharedItems containsString="0" containsBlank="1" containsNumber="1" containsInteger="1" minValue="1" maxValue="1"/>
    </cacheField>
    <cacheField name="SELEZIONATA" numFmtId="0">
      <sharedItems containsString="0" containsBlank="1" containsNumber="1" containsInteger="1" minValue="1" maxValue="1"/>
    </cacheField>
    <cacheField name="INCONTRATA" numFmtId="0">
      <sharedItems containsString="0" containsBlank="1" containsNumber="1" containsInteger="1" minValue="1" maxValue="1"/>
    </cacheField>
    <cacheField name="CALL/VISITA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Rocchetto" refreshedDate="46083.58901747685" createdVersion="8" refreshedVersion="8" minRefreshableVersion="3" recordCount="919" xr:uid="{097772C8-9EC8-46C3-8AFF-D6F29E40B960}">
  <cacheSource type="worksheet">
    <worksheetSource ref="A1:B920" sheet="UNIONE"/>
  </cacheSource>
  <cacheFields count="2">
    <cacheField name="Società " numFmtId="0">
      <sharedItems count="751">
        <s v=" "/>
        <s v="Ab Service srl"/>
        <s v="Alpinestars Spa"/>
        <s v="Amiu Genova Spa"/>
        <s v="Andreas Stihl Spa"/>
        <s v="Antonio Capaldo SpA"/>
        <s v="Argea"/>
        <s v="Bm Barbiero &amp; Minotti srl"/>
        <s v="Bonzai"/>
        <s v="Brembo NV"/>
        <s v="Brevetti Waf srl"/>
        <s v="Cantina Tollo sca"/>
        <s v="Carapelli Firenze Spa"/>
        <s v="Carcano Trasporti Spa "/>
        <s v="Carelli srl"/>
        <s v="Cartlandia srl"/>
        <s v="Cati Spa"/>
        <s v="Cdf Centro Distribuzione del Farmaco Spa"/>
        <s v="Cdi Consulenti d'Impresa srls"/>
        <s v="Ceccarelli Group"/>
        <s v="Centrale del Latte di Roma"/>
        <s v="Ceva Logistics srl "/>
        <s v="Cmm Logistics srl"/>
        <s v="Conad Nord Ovest"/>
        <s v="Cone1o Technologies srl"/>
        <s v="Corplast srl"/>
        <s v="Dakota Group sas"/>
        <s v="Dallai Ernesto srl"/>
        <s v="Divulga di Ricciardelli Enrico"/>
        <s v="Dmm Spa"/>
        <s v="Douglas Chero SpA"/>
        <s v="Dual Sanitaly Spa"/>
        <s v="Ecoplast srl"/>
        <s v="Ecor International Spa"/>
        <s v="Ed&amp;F Man"/>
        <s v="Ed&amp;F Man Liquid Products Italia Srl"/>
        <s v="Europrosan Spa"/>
        <s v="Eurovetrocap Spa"/>
        <s v="E1trema srl"/>
        <s v="Fabbrica Italiana Sintetici Spa"/>
        <s v="Farvima Medicinali Spa"/>
        <s v="Fepa Spa"/>
        <s v="Ferramenta Adda Spa"/>
        <s v="Ferrari Spa"/>
        <s v="Flodraulic Europe"/>
        <s v="Foma Spa"/>
        <s v="Fratelli Polli srl"/>
        <s v="Ft System srl"/>
        <s v="Galdi srl"/>
        <s v="Giobert Spa"/>
        <s v="Giorgetti SpA"/>
        <s v="Gruppo Antonini Spa"/>
        <s v="Helicopters Italia"/>
        <s v="Icel Scpa"/>
        <s v="Ifap Spa"/>
        <s v="La Montanara srl"/>
        <s v="La Torrente srl"/>
        <s v="Lago Group Spa"/>
        <s v="Laica SpA"/>
        <s v="Leonardo Spa - Torino"/>
        <s v="Leonardo Spa - vs Logistica Industriale"/>
        <s v="Leonardo Spa - vs Pianificazione/Supply Chain/AI"/>
        <s v="Macedonio 22 srl"/>
        <s v="Manufacture De Souliers - Louis Vuitton"/>
        <s v="Marchi &amp; Fildi Spa"/>
        <s v="Masidef srl"/>
        <s v="Mazza Spa Società Benefit"/>
        <s v="Meditrans"/>
        <s v="Metal's Spa"/>
        <s v="Mic Spa - Manifattura Italiana Cucirini"/>
        <s v="Mine Consulting"/>
        <s v="Miroglio Fashion srl"/>
        <s v="Modernab srl"/>
        <s v="Morgan Tecnica Spa"/>
        <s v="Mps srl"/>
        <s v="O-I Manufacturing"/>
        <s v="Olimpia Splendid Spa"/>
        <s v="Olivieri srl"/>
        <s v="Oma Spa"/>
        <s v="Original Birth Spa / Vema srl"/>
        <s v="Paredes Italia Spa"/>
        <s v="Piacenza Group"/>
        <s v="Plurima Spa"/>
        <s v="Probatur Group"/>
        <s v="Pulitalia Spa"/>
        <s v="Rossetto Trade Spa"/>
        <s v="S2 Spa"/>
        <s v="Saci Industrie Spa"/>
        <s v="Sacmi"/>
        <s v="Sannino Forniture srl"/>
        <s v="Sante1 Spa"/>
        <s v="Save srl"/>
        <s v="Sbs Spa"/>
        <s v="Sea Vision srl"/>
        <s v="Serugeri Spa"/>
        <s v="Siap Spa"/>
        <s v="Sifa srl"/>
        <s v="So.Na.D. srl"/>
        <s v="Società Agricola Merlini e newco in costituzione"/>
        <s v="Spader Log srl"/>
        <s v="Still Spa"/>
        <s v="SuperJet International Spa"/>
        <s v="Swinger International"/>
        <s v="T.erre Europe Srl"/>
        <s v="Tangity (NTT DATA)"/>
        <s v="Tatò Paride Spa"/>
        <s v="Tcr Spa"/>
        <s v="Technoprobe Spa"/>
        <s v="Tecniplast Spa"/>
        <s v="Teco srl"/>
        <s v="Tekne Spa"/>
        <s v="Tonitto 1939 Spa"/>
        <s v="Trae srl"/>
        <s v="True Design srl a socio unico"/>
        <s v="Ttl srl"/>
        <s v="Urban Logistica Srl"/>
        <s v="Veca Spa"/>
        <s v="Velo-Ce srl"/>
        <s v="Viessmann srl"/>
        <s v="We.Do Holding Spa"/>
        <s v="Well Alimentare Italiana srl"/>
        <s v="Zanotti &amp; Tagliani srl"/>
        <s v="A&amp;T Europe Spa"/>
        <s v="Abgroup srl"/>
        <s v="Ala Spa"/>
        <s v="Ali Spa"/>
        <s v="Alis - Casa Rinaldi"/>
        <s v="Allegrini Spa"/>
        <s v="Almar srl"/>
        <s v="Alupak Italia"/>
        <s v="Angiodroid SpA"/>
        <s v="Arredo3"/>
        <s v="ArtCosmetics Srl"/>
        <s v="Astori Spa"/>
        <s v="BasicNet Spa"/>
        <s v="Berardi Bullonerie srl"/>
        <s v="Bericah Spa"/>
        <s v="Biolab srl"/>
        <s v="Bonzai Spa"/>
        <s v="Box Marche Spa"/>
        <s v="Btt Solutions"/>
        <s v="Bubola &amp; Naibo"/>
        <s v="Cambielli Spa"/>
        <s v="Cantine Giacomo Montresor Spa"/>
        <s v="Casa del cuscinetto Srl"/>
        <s v="Casappa Spa "/>
        <s v="Ccm - Coop Cartai Modenese"/>
        <s v="Chromavis"/>
        <s v="Cnh Modena S. Matteo"/>
        <s v="Cofra srl"/>
        <s v="Coind"/>
        <s v="Colorgraf Spa"/>
        <s v="Conad Centro Nord"/>
        <s v="Conserve Italia Coop Agricola r.l."/>
        <s v="Conslog srl"/>
        <s v="Consorzio Lcs"/>
        <s v="Cooperativa Pescatori Arborea scarl"/>
        <s v="Coopservice"/>
        <s v="Coseco Industrie Group srl"/>
        <s v="Coster Tecnologie Speciali Spa"/>
        <s v="Cozzolino srl"/>
        <s v="Custom Sales srl"/>
        <s v="Dbd BricoCasa"/>
        <s v="Deodato srl"/>
        <s v="Digital Boite srl"/>
        <s v="Dolciaria Acquaviva SpA"/>
        <s v="Eih Logistics"/>
        <s v="Elphis sas"/>
        <s v="Ems Italia srl"/>
        <s v="Energo Logistic Spa"/>
        <s v="Epta Spa"/>
        <s v="Ewo gmbh"/>
        <s v="Fassa srl"/>
        <s v="Fiamm Energy Technology"/>
        <s v="Fiege Logistics"/>
        <s v="Fileni"/>
        <s v="Fontanella Bevande srl"/>
        <s v="Fraschetti Spa"/>
        <s v="Fratelli Polli Spa"/>
        <s v="Garofoli Spa"/>
        <s v="Ge Vernova"/>
        <s v="General Trade Spa"/>
        <s v="Gewiss"/>
        <s v="Glop srl"/>
        <s v="Greiner Bio-One Italia srl"/>
        <s v="Gruppo Poron srl"/>
        <s v="Happiness Srl"/>
        <s v="Hexagon  Spa"/>
        <s v="Hitachi Rail sts"/>
        <s v="Htd Medical"/>
        <s v="Interpump Group Spa"/>
        <s v="Iris Mobili srl - Mondo Convenienza"/>
        <s v="Italiansped Spa"/>
        <s v="Italtrade Group srl"/>
        <s v="Izo Vaxxinova srl"/>
        <s v="Kpmg Advisory Spa"/>
        <s v="La Cisa Trasporti Industriali"/>
        <s v="Leonardo Spa - Difesa / Aerospazio"/>
        <s v="Leonardo Spa - Divisione Elettronica"/>
        <s v="L'Inglesina Baby Spa"/>
        <s v="Lowara Srl"/>
        <s v="Magirus Italia"/>
        <s v="Maie Spa"/>
        <s v="Marchiol spa "/>
        <s v="Martinelli Ginetto Spa"/>
        <s v="Mectron Spa"/>
        <s v="Meda Pharma"/>
        <s v="Mi.La. Trasporti"/>
        <s v="Minardi Industries srl"/>
        <s v="Multilog Spa"/>
        <s v="Nar Spa"/>
        <s v="Norauto Italia Spa"/>
        <s v="Onis Visa"/>
        <s v="Onniversum Italia srl"/>
        <s v="Paglieri Spa"/>
        <s v="Percassi Retail"/>
        <s v="Pezzol Industries srl"/>
        <s v="PL World srl"/>
        <s v="Ppg Business Support srl"/>
        <s v="Prima Cucine srl"/>
        <s v="Proced srl"/>
        <s v="Raccorderie Metalliche Spa"/>
        <s v="Rcr Cristalleria Italiana"/>
        <s v="Relevi Spa"/>
        <s v="Sacer-Uliana Luciano srl"/>
        <s v="Saint Gobain Glass Italia Spa"/>
        <s v="Sarlux"/>
        <s v="Sea Vision"/>
        <s v="Semenzin Trasporti e Logistica"/>
        <s v="Silikomart srl"/>
        <s v="Smartfuture"/>
        <s v="Snatt Logistica Spa "/>
        <s v="Solenis italia"/>
        <s v="Spin srl"/>
        <s v="Stl Imballaggi srl"/>
        <s v="Stones srl"/>
        <s v="Taplast"/>
        <s v="Te. Tecnoelettronica srl"/>
        <s v="Teco Spa"/>
        <s v="Tek Group"/>
        <s v="Toma - Advanced Biomedical Assays Spa"/>
        <s v="Transadriatico Soc. Coop."/>
        <s v="TreCuori Spa sb"/>
        <s v="Trigano Van srl"/>
        <s v="Vhit Spa"/>
        <s v="Villa Sistemi Medicali"/>
        <s v="Vipa Spa"/>
        <s v="Wittur Spa"/>
        <s v="Zanardi Fonderie Spa"/>
        <s v="Zarpellon SpA"/>
        <s v="Ab Impianti srl"/>
        <s v="Abc Food Service srl"/>
        <s v="Abl srl"/>
        <s v="Aboca spa"/>
        <s v="AcegasApsAmga Spa"/>
        <s v="Acs Dobfar Spa"/>
        <s v="Advantix Spa"/>
        <s v="Aia Spa"/>
        <s v="Argotec"/>
        <s v="Arvato Italia"/>
        <s v="Atlante Montello"/>
        <s v="Automobili Lamborghini Spa"/>
        <s v="Baue1pert  Spa"/>
        <s v="Becchis Osiride srl"/>
        <s v="Bimbivip srl"/>
        <s v="Bmb Manifattura Borse"/>
        <s v="Boldrocchi srl"/>
        <s v="Bouvard Italia"/>
        <s v="Bracchi srl"/>
        <s v="Bticino Spa"/>
        <s v="Bucci Composites"/>
        <s v="Ca Da Mosto Spa"/>
        <s v="Calzaturificio Jumbo SpA"/>
        <s v="Cantina Produttori di Valdobbiadene sac"/>
        <s v="Castles Technology"/>
        <s v="Cdf Centro Distribuzione del Farmaco"/>
        <s v="Cedi Sigma Campania Spa"/>
        <s v="Centro Gamma Spa"/>
        <s v="Chematek"/>
        <s v="Clementoni Spa"/>
        <s v="Cnh Industrial - Modena"/>
        <s v="Cnh Industrial - Torino"/>
        <s v="Colfert Spa"/>
        <s v="Compagnia Impresa Lavoratori Portuali srl"/>
        <s v="Conceria Pasubio Spa"/>
        <s v="Consorzio Agrario delle Province del Nord Ovest soc. coop."/>
        <s v="Consorzio Lodi E1port "/>
        <s v="Convert Italia Spa"/>
        <s v="Copre soc. coop. arl"/>
        <s v="Corte Parma Alimentare srl"/>
        <s v="Coscia srl"/>
        <s v="Costanter Spa"/>
        <s v="D.I. Mar. srl"/>
        <s v="Decathlon"/>
        <s v="Dedima1 srl"/>
        <s v="Denegri snc di Denegri Stefano &amp; C."/>
        <s v="Dgf Trans srl"/>
        <s v="Dhf srl"/>
        <s v="Ducati Motor Holding"/>
        <s v="Edilteco Spa"/>
        <s v="Emmegi Spa"/>
        <s v="Epta Spa - Limana"/>
        <s v="Epta Spa - Milano"/>
        <s v="Europolveri spa"/>
        <s v="Eurospin Spesa Intelligente Spa"/>
        <s v="Faps srl"/>
        <s v="Ferrero Trading Lux SA"/>
        <s v="Ferriera Valsider Spa"/>
        <s v="Fonderie Sime Spa"/>
        <s v="For-Services srl"/>
        <s v="Foscarini Spa"/>
        <s v="Franke Spa "/>
        <s v="Fratelli Guzzini Spa"/>
        <s v="Gdo Group srl"/>
        <s v="Geico"/>
        <s v="Gervasoni Spa"/>
        <s v="Gesco Sca"/>
        <s v="Gi.Ma. Trans"/>
        <s v="Grid Solution Spa"/>
        <s v="Gruppo Grazioli srl"/>
        <s v="Hera Spa"/>
        <s v="Idrosistemi srl"/>
        <s v="Intra srl"/>
        <s v="Inviohome"/>
        <s v="Iss Palumbo srl"/>
        <s v="Italmondo Spa"/>
        <s v="Jekko srl"/>
        <s v="Kion Group"/>
        <s v="Kone Industrial Spa"/>
        <s v="Le Caselle Spa"/>
        <s v="Logistica Uno Europe srl"/>
        <s v="Lucart Spa"/>
        <s v="Madi Ventura Spa"/>
        <s v="Maider NCG srl"/>
        <s v="Marchi &amp; Fildi"/>
        <s v="Mattioli Spa"/>
        <s v="Mdf Motors srl"/>
        <s v="Meat &amp; Doria srl"/>
        <s v="MediaProfili Srl"/>
        <s v="Metinvest Trametal Spa"/>
        <s v="Mi.La. Trasporti e Logistica"/>
        <s v="Miniconf Spa "/>
        <s v="Mitsubishi Electric"/>
        <s v="MM Operations Srl"/>
        <s v="Modula Spa"/>
        <s v="Mpe Srl"/>
        <s v="Neoparts scarl"/>
        <s v="Neri Spa"/>
        <s v="Newster System srl"/>
        <s v="Nte Process srl"/>
        <s v="Oleificio Zucchi Spa"/>
        <s v="Original Birth Spa"/>
        <s v="Pama Coloranti Srl"/>
        <s v="Pinto srl"/>
        <s v="Pizzoli Spa"/>
        <s v="Prearo Luce Company Spa"/>
        <s v="Produce International srl"/>
        <s v="Rait 88 srl"/>
        <s v="Reda1 Spa"/>
        <s v="Rittal Spa"/>
        <s v="Rustichella D'Abruzzo Spa"/>
        <s v="Rvn Group srl"/>
        <s v="Saica Pack Italia Spa"/>
        <s v="Sailpost Spa"/>
        <s v="Salsa Jeans"/>
        <s v="Sapio srl"/>
        <s v="Savino Del Bene Logistics SA"/>
        <s v="Secur Service"/>
        <s v="Siser srl"/>
        <s v="Soa Corporate"/>
        <s v="Soplaya srl"/>
        <s v="Soteco International srl"/>
        <s v="Stucchi Spa"/>
        <s v="Tek Automotive srl"/>
        <s v="Teknomega"/>
        <s v="Tenuta di Castelfalfi SpA"/>
        <s v="Tirelli srl"/>
        <s v="Twoside srl"/>
        <s v="Unicoop Firenze"/>
        <s v="Unicoop Tirreno sc"/>
        <s v="Urbani Tartufi"/>
        <s v="Val D'Oca srl"/>
        <s v="Vdalogistica scarl"/>
        <s v="Veneta Isolatori"/>
        <s v="Vimec srl"/>
        <s v="Vincenzo Zucchi Spa"/>
        <s v="Voilàp SpA"/>
        <s v="WeDo Holding spa"/>
        <s v="Xero1 Spa"/>
        <s v="xpl srl"/>
        <s v="Aeb Group"/>
        <s v="Aetna Group"/>
        <s v="Algodue Elettronica Srl"/>
        <s v="Aliprandi Beverage"/>
        <s v="Alisia Accessorize Srl"/>
        <s v="Ammann Italy srl"/>
        <s v="Angel4Future - Angel Company"/>
        <s v="Beko"/>
        <s v="Betafence Italia"/>
        <s v="Beverete Network srl"/>
        <s v="Boggi Milano"/>
        <s v="Bracchi Spa"/>
        <s v="Breton Spa"/>
        <s v="Brevetti Signode Labea Spa"/>
        <s v="Bulgari Gioielli Spa"/>
        <s v="C.A.M.P. SpA"/>
        <s v="Capurso Trade &amp; Service"/>
        <s v="Cavagna Group"/>
        <s v="Cellino Srl"/>
        <s v="Cirfood sc"/>
        <s v="Cofle Spa"/>
        <s v="Colognese srl"/>
        <s v="Consorzio Lodi Export "/>
        <s v="Contarini Leopoldo srl"/>
        <s v="Cooperativa sociale Gruppo78 scs"/>
        <s v="Cpa"/>
        <s v="Davines Spa"/>
        <s v="Dino Corsini srl"/>
        <s v="Dominus"/>
        <s v="Esercito Italiano - Polo Nazionale Rifornimenti"/>
        <s v="Europont Srl "/>
        <s v="Extrema srl"/>
        <s v="Fan Europe Lighting"/>
        <s v="Fandis Spa"/>
        <s v="Fis - Fabbrica Italiana Sintetici Spa"/>
        <s v="Fontana Gruppo"/>
        <s v="Fresenius Kabi Italia"/>
        <s v="Ft System srl a socio unico"/>
        <s v="Galletti Spa"/>
        <s v="Gruppo Grazioli"/>
        <s v="Gruppo M Italia"/>
        <s v="Hitachi Rail Rcs Italia srl"/>
        <s v="Hp Hydraulic"/>
        <s v="Hsr Italia"/>
        <s v="Huber AgroSolution"/>
        <s v="Il Gufo Spa"/>
        <s v="Ilgom Tubi Srl"/>
        <s v="Kerakoll Spa"/>
        <s v="Koppert Italia"/>
        <s v="L.S. Logistica Sanitaria srl"/>
        <s v="Laborplast Spa"/>
        <s v="Ligra DS srl"/>
        <s v="M&amp;S Logistica srl"/>
        <s v="Malga Trasporti srl"/>
        <s v="Maltech srl"/>
        <s v="Maniva Spa"/>
        <s v="Mercury srl"/>
        <s v="Micheletto srl"/>
        <s v="Migross Spa"/>
        <s v="Minelli Spa"/>
        <s v="Mise En Place di Alberto Ferrari"/>
        <s v="Modyf srl"/>
        <s v="Natura Nuova"/>
        <s v="New Wave Italia srl"/>
        <s v="Nuova Defim Spa"/>
        <s v="O-I Manufacturing Italy SpA"/>
        <s v="Ori di Altini Annamaria"/>
        <s v="Pagani Pens sa"/>
        <s v="Paolo Astori Spa"/>
        <s v="Pietrasanta Pharma Spa"/>
        <s v="Piovan Spa"/>
        <s v="Prix Quality Spa"/>
        <s v="Progold Spa"/>
        <s v="Rifra Masterbatches"/>
        <s v="Rivoire srl"/>
        <s v="Rotho Blaas"/>
        <s v="Rubber Conversion Srl"/>
        <s v="Sabelt Spa"/>
        <s v="Sacmi Cassioli Intralogistics"/>
        <s v="Sammontana SpA Società Benefit"/>
        <s v="Sidney Aston srl"/>
        <s v="Sofir srl"/>
        <s v="Somec Spa"/>
        <s v="Stato Maggiore Esercito - IV Reparto Logistico"/>
        <s v="Tovo Gomma Spa"/>
        <s v="Toyota Tsusho Europe Sa"/>
        <s v="Trocellen Group"/>
        <s v="Unoaerre Industries"/>
        <s v="Vda Logistica scarl"/>
        <s v="Vemer Spa"/>
        <s v="Westrafo srl"/>
        <s v="Zeroquattro Logistica srl"/>
        <s v="3F Filippi Spa"/>
        <s v="Aeroporto G. Marconi di Bologna"/>
        <s v="Agrati FSP"/>
        <s v="Antonio Carraro Spa"/>
        <s v="Astro srl"/>
        <s v="Azienda Sanitaria dell'Alto Adige"/>
        <s v="Azienda Sanitaria Provinciale di Caltanissetta"/>
        <s v="Bauli Spa"/>
        <s v="Bbf srl"/>
        <s v="Bennati Srl "/>
        <s v="Bestway Italia Srl"/>
        <s v="Betafence Italia / Praesidiad"/>
        <s v="Bp Italia Spa"/>
        <s v="BulLdOgFrance"/>
        <s v="Cartiere del Garda"/>
        <s v="Cirfood"/>
        <s v="Colorobbia Italia Spa"/>
        <s v="Comelit Spa"/>
        <s v="Copan Group Spa"/>
        <s v="Costruzioni Generali Basso cav. Angelo Spa"/>
        <s v="Covim Spa"/>
        <s v="Danfoss Power Solutions"/>
        <s v="Dega e Grazioli srl"/>
        <s v="Eg Italia"/>
        <s v="Electrolux Group"/>
        <s v="Elite Srl"/>
        <s v="Enetec &amp; Eurotherm Spa sb"/>
        <s v="Eolo Spa"/>
        <s v="Family service di Baldi Antonio"/>
        <s v="Farmo Spa"/>
        <s v="Fast Freight Marconi Spa"/>
        <s v="Fater Spa"/>
        <s v="Fenice srl"/>
        <s v="Fgv Spa"/>
        <s v="Friulsider Spa"/>
        <s v="Gabbiano Spa"/>
        <s v="Galifi srl"/>
        <s v="Gilardoni Spa"/>
        <s v="Gimatic"/>
        <s v="Golfomar srl"/>
        <s v="Greci Industria Alimentare"/>
        <s v="Haupt Pharma Latina Srl"/>
        <s v="Igt Lottery Italy - Field"/>
        <s v="Igt Lottery Italy - Logistica"/>
        <s v="Innio Jenbacher"/>
        <s v="Kartell Spa"/>
        <s v="Kohler Engines"/>
        <s v="Koppert Italia srl"/>
        <s v="Laziale Distribuzione Spa"/>
        <s v="Leonardo Electronics"/>
        <s v="Leonardo Logistics Spa"/>
        <s v="Lidle Italia Srl "/>
        <s v="Lindab Spa"/>
        <s v="Loescher Editore Divisione Zanichelli Spa"/>
        <s v="Mac Logistica srl"/>
        <s v="Mainfreight Italy srl"/>
        <s v="Marazzi Group srl"/>
        <s v="Mcz Group Spa"/>
        <s v="Med Trans World srl"/>
        <s v="Megamark srl"/>
        <s v="Menz &amp; Gasser Spa"/>
        <s v="Mic - Manifattura Italiana Cucirini Spa"/>
        <s v="Midland Europe srl"/>
        <s v="Mint Italia Srl"/>
        <s v="Mis Medical srl"/>
        <s v="Mita Cooling Technologies srl"/>
        <s v="Mp3 srl"/>
        <s v="Multicedi srl"/>
        <s v="Ocme srl"/>
        <s v="Office Depot Italia Srl"/>
        <s v="Patlite Europe srl"/>
        <s v="Poly Pool Spa"/>
        <s v="Polykeg srl"/>
        <s v="Prysmian"/>
        <s v="Puratos Italia srl"/>
        <s v="Redax Spa"/>
        <s v="Sadel Spa"/>
        <s v="Salov Spa"/>
        <s v="Sanguedolce srl"/>
        <s v="Scame Parre Spa"/>
        <s v="Sdm srl"/>
        <s v="Sicor srl"/>
        <s v="Sirca Spa"/>
        <s v="Sky"/>
        <s v="Stanhome SpA s.b."/>
        <s v="Subaru Italia Spa"/>
        <s v="Tralfo srl"/>
        <s v="Ufi Filters"/>
        <s v="Valmont Solar"/>
        <s v="Way Point srl"/>
        <s v="Yara"/>
        <s v="Za' srl"/>
        <s v="Aepi Industry"/>
        <s v="Aervaro srl"/>
        <s v="Agrieuro srl"/>
        <s v="Alfa Valvole"/>
        <s v="Alpego Spa"/>
        <s v="Am Logistica srl"/>
        <s v="Aosom Italy srl"/>
        <s v="Avanzini Logistica Srl"/>
        <s v="Av SERVICE Spa"/>
        <s v="Baltur Spa"/>
        <s v="Benelli QJ srl"/>
        <s v="Biessse Tape Solutions Spa"/>
        <s v="Bmb Manifattura Borse Spa"/>
        <s v="Brenntag Spa"/>
        <s v="Calicantus"/>
        <s v="Carpigiani Group Ali srl"/>
        <s v="Cartotecnica Postumia"/>
        <s v="Cfmo Logistics"/>
        <s v="Cgt"/>
        <s v="Cnh Industrial"/>
        <s v="Cnh Industrial - (Magazzino)"/>
        <s v="Comar Spa"/>
        <s v="Combustion Chamber Components"/>
        <s v="Comelit Group Spa"/>
        <s v="Comisa Spa"/>
        <s v="Consorzio Agribologna sca"/>
        <s v="Costruzioni Generali Basso cav. Angelo Spa / Sogeicom"/>
        <s v="Criocabin Spa"/>
        <s v="Cvr Spa"/>
        <s v="Diasorin"/>
        <s v="Dimac Red Spa"/>
        <s v="Dr. Schär Spa "/>
        <s v="Ellmann Logistik srl"/>
        <s v="Emar Giannobi"/>
        <s v="Emmi Dessert Italia Spa"/>
        <s v="Endress + Hauser"/>
        <s v="Eridania Spa"/>
        <s v="Fami Spa"/>
        <s v="Fanti Packaging"/>
        <s v="Federfarmaco"/>
        <s v="Ferexpert Spa"/>
        <s v="Fincantieri Spa"/>
        <s v="Fis Fabbrica Italiana Sintetici Spa"/>
        <s v="Gc Group srl"/>
        <s v="Gda Spa"/>
        <s v="Gefran Spa"/>
        <s v="Goriziane E&amp;C"/>
        <s v="Gucci Logistica"/>
        <s v="Hustle Srl"/>
        <s v="Imab Group Spa"/>
        <s v="Iq Gempac srl"/>
        <s v="Itp Spa -  Industria Termoplastica Pavese Spa "/>
        <s v="Ivela srl"/>
        <s v="Lavanderia Pino Srl"/>
        <s v="Leonardo Spa - Difesa"/>
        <s v="Leonardo Spa - Genova"/>
        <s v="Limacorporate Spa"/>
        <s v="Mai Italia srl / Mdl Engineering srl"/>
        <s v="Mantoan Trasporti"/>
        <s v="Materiali Edili Roman Terzer"/>
        <s v="Messaggerie del Garda"/>
        <s v="Mezzacorona Sca"/>
        <s v="Mitsubishi Electric Hydronics &amp; IT Cooling Systems Spa"/>
        <s v="Northrop Grumman Italia"/>
        <s v="Omp srl"/>
        <s v="OnestiGroup Spa"/>
        <s v="Pac2000A Conad"/>
        <s v="Pedrollo spa "/>
        <s v="Pentair Manufacturing Italy srl"/>
        <s v="Pharmac Italia"/>
        <s v="Pidielle Spa"/>
        <s v="Pilkington Italia spa"/>
        <s v="Poloplast srl"/>
        <s v="Praesidiad"/>
        <s v="Procosmet srl"/>
        <s v="Punch Torino Spa"/>
        <s v="Radiall Italia Srl"/>
        <s v="Revenue Collection Systems Italia srl"/>
        <s v="Ricci Carlo srl"/>
        <s v="S&amp;A srl"/>
        <s v="San Marco Beverage Network"/>
        <s v="Sassi Editore Srl"/>
        <s v="Schenker Italiana Spa"/>
        <s v="Schneider Electric Industrie Italia"/>
        <s v="Silgan Dispensing Systems"/>
        <s v="Simonetti"/>
        <s v="Sorma Spa"/>
        <s v="Spediterraneo srl"/>
        <s v="Taro Plast"/>
        <s v="Tecomec srl"/>
        <s v="Unifreddo Solutions srl"/>
        <s v="Unifreddo srl"/>
        <s v="Vivisol srl"/>
        <s v="Whitebridge Pet Brands"/>
        <s v="Wittur Italia Holding srl"/>
        <s v="Zoin srl"/>
        <s v="4Bild"/>
        <s v="Alfuno Spa"/>
        <s v="All4Labels Italy Spa"/>
        <s v="Aptar Pescara SpA"/>
        <s v="Arneg Spa"/>
        <s v="Balconi Spa"/>
        <s v="Balenciaga Logistica srl"/>
        <s v="Biepi"/>
        <s v="Bondioli e Pavesi - Hp Hydraulic"/>
        <s v="Bonterre (Parmareggio + Grandi Salumifici Italiani)"/>
        <s v="Camini Wierer srl"/>
        <s v="Carlo Cagnoni Spa"/>
        <s v="Ccm"/>
        <s v="Chiapparoli Logistica Spa"/>
        <s v="Cms Spa"/>
        <s v="Cobo spa"/>
        <s v="Coelsanus spa"/>
        <s v="Cris Conf Spa "/>
        <s v="Diffusione tessile srl"/>
        <s v="Dpv Spa"/>
        <s v="Eurostandard"/>
        <s v="Fainplast"/>
        <s v="Fileni Alimentare Spa"/>
        <s v="Fimar Spa"/>
        <s v="Fom Industrie"/>
        <s v="Fratelli Piacenza Spa 1733"/>
        <s v="Gmm srl"/>
        <s v="Goriziane Group Spa"/>
        <s v="Granda Team"/>
        <s v="Gualapack Spa"/>
        <s v="Hme Brass Italy Spa"/>
        <s v="IGuzzini Illuminazione Spa"/>
        <s v="Ilsa Srl"/>
        <s v="Imax srl unipersonale"/>
        <s v="Interior Beltramini srl"/>
        <s v="Italcuscinetti Spa"/>
        <s v="Js Global Spa"/>
        <s v="Kering Eyewear SpA"/>
        <s v="Kioene Spa"/>
        <s v="Larimart SpA"/>
        <s v="Lb Plast srl"/>
        <s v="Leonardo Spa - Divisione Velivoli"/>
        <s v="Logista Italia Spa "/>
        <s v="Lube Industries srl"/>
        <s v="Ma.C. Srl"/>
        <s v="Manifattura Italiana Cucirini Spa"/>
        <s v="MaxMara Fashion Group"/>
        <s v="Mazza Sollevamenti Srl"/>
        <s v="Med Trans World"/>
        <s v="Metal World SpA"/>
        <s v="Mevis Euromeccanica Spa"/>
        <s v="Molino Casillo Spa"/>
        <s v="Movimoda One"/>
        <s v="Nespoli srl"/>
        <s v="Officine Margoni"/>
        <s v="Orthofix Srl"/>
        <s v="Osit Impresa Spa"/>
        <s v="Palladium Moda srl "/>
        <s v="Pastificio Pasticceria Tossini spa"/>
        <s v="Pettenon Cosmetics Spa"/>
        <s v="Pircher Oberland"/>
        <s v="Piva Group Spa"/>
        <s v="Pracal"/>
        <s v="Promagroup"/>
        <s v="Rajapack srl"/>
        <s v="Risto3 sc"/>
        <s v="Rummo Spa"/>
        <s v="Sacmi Imola sc"/>
        <s v="Sanremo Coffee Machines"/>
        <s v="Sapio Life"/>
        <s v="Scen"/>
        <s v="Schwabe Pharma Italia srl"/>
        <s v="Sielte Spa"/>
        <s v="Sitland Spa"/>
        <s v="Spal Automotive"/>
        <s v="Spival Spa"/>
        <s v="Swisscare srl "/>
        <s v="Tillmanns Spa"/>
        <s v="Verona Lamiere Spa"/>
        <s v="Vetrauto srl"/>
        <s v="Vetrocar"/>
      </sharedItems>
    </cacheField>
    <cacheField name="N° presenze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1"/>
    <n v="1"/>
    <m/>
    <m/>
  </r>
  <r>
    <n v="1"/>
    <n v="1"/>
    <n v="1"/>
    <m/>
  </r>
  <r>
    <m/>
    <m/>
    <m/>
    <m/>
  </r>
  <r>
    <n v="1"/>
    <n v="1"/>
    <m/>
    <m/>
  </r>
  <r>
    <n v="1"/>
    <m/>
    <m/>
    <m/>
  </r>
  <r>
    <m/>
    <m/>
    <m/>
    <m/>
  </r>
  <r>
    <n v="1"/>
    <n v="1"/>
    <m/>
    <m/>
  </r>
  <r>
    <m/>
    <m/>
    <m/>
    <m/>
  </r>
  <r>
    <n v="1"/>
    <n v="1"/>
    <n v="1"/>
    <m/>
  </r>
  <r>
    <n v="1"/>
    <m/>
    <m/>
    <m/>
  </r>
  <r>
    <m/>
    <m/>
    <m/>
    <m/>
  </r>
  <r>
    <n v="1"/>
    <n v="1"/>
    <m/>
    <m/>
  </r>
  <r>
    <m/>
    <m/>
    <m/>
    <m/>
  </r>
  <r>
    <n v="1"/>
    <n v="1"/>
    <m/>
    <m/>
  </r>
  <r>
    <m/>
    <m/>
    <n v="1"/>
    <m/>
  </r>
  <r>
    <m/>
    <m/>
    <m/>
    <m/>
  </r>
  <r>
    <n v="1"/>
    <n v="1"/>
    <n v="1"/>
    <n v="1"/>
  </r>
  <r>
    <m/>
    <m/>
    <m/>
    <m/>
  </r>
  <r>
    <m/>
    <m/>
    <m/>
    <m/>
  </r>
  <r>
    <m/>
    <n v="1"/>
    <m/>
    <m/>
  </r>
  <r>
    <m/>
    <m/>
    <m/>
    <m/>
  </r>
  <r>
    <n v="1"/>
    <n v="1"/>
    <n v="1"/>
    <m/>
  </r>
  <r>
    <m/>
    <m/>
    <m/>
    <m/>
  </r>
  <r>
    <n v="1"/>
    <n v="1"/>
    <m/>
    <m/>
  </r>
  <r>
    <m/>
    <m/>
    <m/>
    <m/>
  </r>
  <r>
    <m/>
    <m/>
    <m/>
    <m/>
  </r>
  <r>
    <m/>
    <m/>
    <m/>
    <m/>
  </r>
  <r>
    <n v="1"/>
    <n v="1"/>
    <m/>
    <m/>
  </r>
  <r>
    <m/>
    <m/>
    <m/>
    <m/>
  </r>
  <r>
    <n v="1"/>
    <m/>
    <m/>
    <m/>
  </r>
  <r>
    <n v="1"/>
    <n v="1"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n v="1"/>
    <n v="1"/>
    <m/>
    <m/>
  </r>
  <r>
    <m/>
    <n v="1"/>
    <m/>
    <m/>
  </r>
  <r>
    <m/>
    <m/>
    <m/>
    <m/>
  </r>
  <r>
    <m/>
    <m/>
    <m/>
    <m/>
  </r>
  <r>
    <n v="1"/>
    <n v="1"/>
    <m/>
    <m/>
  </r>
  <r>
    <n v="1"/>
    <n v="1"/>
    <m/>
    <m/>
  </r>
  <r>
    <n v="1"/>
    <n v="1"/>
    <m/>
    <m/>
  </r>
  <r>
    <m/>
    <m/>
    <m/>
    <m/>
  </r>
  <r>
    <m/>
    <m/>
    <m/>
    <m/>
  </r>
  <r>
    <m/>
    <m/>
    <m/>
    <m/>
  </r>
  <r>
    <n v="1"/>
    <m/>
    <m/>
    <m/>
  </r>
  <r>
    <n v="1"/>
    <n v="1"/>
    <m/>
    <m/>
  </r>
  <r>
    <m/>
    <m/>
    <n v="1"/>
    <m/>
  </r>
  <r>
    <n v="1"/>
    <m/>
    <m/>
    <m/>
  </r>
  <r>
    <n v="1"/>
    <n v="1"/>
    <m/>
    <m/>
  </r>
  <r>
    <m/>
    <m/>
    <m/>
    <m/>
  </r>
  <r>
    <m/>
    <m/>
    <m/>
    <m/>
  </r>
  <r>
    <m/>
    <m/>
    <m/>
    <m/>
  </r>
  <r>
    <n v="1"/>
    <n v="1"/>
    <m/>
    <m/>
  </r>
  <r>
    <n v="1"/>
    <n v="1"/>
    <n v="1"/>
    <m/>
  </r>
  <r>
    <m/>
    <m/>
    <m/>
    <m/>
  </r>
  <r>
    <m/>
    <m/>
    <m/>
    <m/>
  </r>
  <r>
    <m/>
    <n v="1"/>
    <n v="1"/>
    <m/>
  </r>
  <r>
    <n v="1"/>
    <n v="1"/>
    <m/>
    <m/>
  </r>
  <r>
    <n v="1"/>
    <n v="1"/>
    <m/>
    <m/>
  </r>
  <r>
    <n v="1"/>
    <n v="1"/>
    <m/>
    <m/>
  </r>
  <r>
    <n v="1"/>
    <n v="1"/>
    <m/>
    <m/>
  </r>
  <r>
    <n v="1"/>
    <n v="1"/>
    <n v="1"/>
    <m/>
  </r>
  <r>
    <m/>
    <m/>
    <m/>
    <m/>
  </r>
  <r>
    <n v="1"/>
    <n v="1"/>
    <n v="1"/>
    <m/>
  </r>
  <r>
    <m/>
    <m/>
    <m/>
    <m/>
  </r>
  <r>
    <n v="1"/>
    <n v="1"/>
    <n v="1"/>
    <m/>
  </r>
  <r>
    <m/>
    <m/>
    <m/>
    <m/>
  </r>
  <r>
    <m/>
    <m/>
    <m/>
    <m/>
  </r>
  <r>
    <m/>
    <m/>
    <m/>
    <m/>
  </r>
  <r>
    <n v="1"/>
    <m/>
    <m/>
    <m/>
  </r>
  <r>
    <m/>
    <m/>
    <m/>
    <m/>
  </r>
  <r>
    <m/>
    <m/>
    <n v="1"/>
    <m/>
  </r>
  <r>
    <m/>
    <m/>
    <m/>
    <m/>
  </r>
  <r>
    <n v="1"/>
    <n v="1"/>
    <m/>
    <m/>
  </r>
  <r>
    <m/>
    <m/>
    <m/>
    <m/>
  </r>
  <r>
    <n v="1"/>
    <n v="1"/>
    <n v="1"/>
    <m/>
  </r>
  <r>
    <m/>
    <m/>
    <m/>
    <m/>
  </r>
  <r>
    <n v="1"/>
    <n v="1"/>
    <m/>
    <m/>
  </r>
  <r>
    <m/>
    <m/>
    <m/>
    <m/>
  </r>
  <r>
    <n v="1"/>
    <n v="1"/>
    <m/>
    <m/>
  </r>
  <r>
    <m/>
    <m/>
    <m/>
    <m/>
  </r>
  <r>
    <n v="1"/>
    <n v="1"/>
    <m/>
    <m/>
  </r>
  <r>
    <m/>
    <m/>
    <m/>
    <m/>
  </r>
  <r>
    <m/>
    <m/>
    <m/>
    <m/>
  </r>
  <r>
    <m/>
    <n v="1"/>
    <m/>
    <m/>
  </r>
  <r>
    <m/>
    <m/>
    <m/>
    <m/>
  </r>
  <r>
    <n v="1"/>
    <n v="1"/>
    <m/>
    <m/>
  </r>
  <r>
    <n v="1"/>
    <n v="1"/>
    <m/>
    <m/>
  </r>
  <r>
    <n v="1"/>
    <n v="1"/>
    <m/>
    <m/>
  </r>
  <r>
    <n v="1"/>
    <n v="1"/>
    <m/>
    <m/>
  </r>
  <r>
    <n v="1"/>
    <n v="1"/>
    <m/>
    <m/>
  </r>
  <r>
    <m/>
    <m/>
    <m/>
    <m/>
  </r>
  <r>
    <m/>
    <m/>
    <m/>
    <m/>
  </r>
  <r>
    <n v="1"/>
    <n v="1"/>
    <m/>
    <m/>
  </r>
  <r>
    <n v="1"/>
    <n v="1"/>
    <m/>
    <m/>
  </r>
  <r>
    <n v="1"/>
    <n v="1"/>
    <m/>
    <m/>
  </r>
  <r>
    <m/>
    <n v="1"/>
    <m/>
    <m/>
  </r>
  <r>
    <n v="1"/>
    <n v="1"/>
    <n v="1"/>
    <n v="1"/>
  </r>
  <r>
    <m/>
    <m/>
    <m/>
    <m/>
  </r>
  <r>
    <m/>
    <n v="1"/>
    <m/>
    <m/>
  </r>
  <r>
    <n v="1"/>
    <n v="1"/>
    <m/>
    <m/>
  </r>
  <r>
    <m/>
    <m/>
    <m/>
    <m/>
  </r>
  <r>
    <n v="1"/>
    <m/>
    <m/>
    <m/>
  </r>
  <r>
    <m/>
    <m/>
    <m/>
    <m/>
  </r>
  <r>
    <n v="1"/>
    <n v="1"/>
    <n v="1"/>
    <m/>
  </r>
  <r>
    <n v="1"/>
    <m/>
    <m/>
    <m/>
  </r>
  <r>
    <m/>
    <m/>
    <m/>
    <m/>
  </r>
  <r>
    <m/>
    <m/>
    <m/>
    <m/>
  </r>
  <r>
    <n v="1"/>
    <n v="1"/>
    <m/>
    <m/>
  </r>
  <r>
    <m/>
    <m/>
    <m/>
    <m/>
  </r>
  <r>
    <m/>
    <m/>
    <m/>
    <m/>
  </r>
  <r>
    <m/>
    <m/>
    <m/>
    <m/>
  </r>
  <r>
    <m/>
    <n v="1"/>
    <m/>
    <m/>
  </r>
  <r>
    <m/>
    <m/>
    <m/>
    <m/>
  </r>
  <r>
    <n v="1"/>
    <n v="1"/>
    <n v="1"/>
    <m/>
  </r>
  <r>
    <m/>
    <n v="1"/>
    <m/>
    <m/>
  </r>
  <r>
    <m/>
    <m/>
    <m/>
    <m/>
  </r>
  <r>
    <n v="1"/>
    <n v="1"/>
    <n v="1"/>
    <m/>
  </r>
  <r>
    <m/>
    <m/>
    <m/>
    <m/>
  </r>
  <r>
    <m/>
    <m/>
    <m/>
    <m/>
  </r>
  <r>
    <n v="1"/>
    <n v="1"/>
    <n v="1"/>
    <n v="1"/>
  </r>
  <r>
    <n v="1"/>
    <n v="1"/>
    <m/>
    <m/>
  </r>
  <r>
    <m/>
    <m/>
    <m/>
    <m/>
  </r>
  <r>
    <m/>
    <m/>
    <n v="1"/>
    <m/>
  </r>
  <r>
    <m/>
    <n v="1"/>
    <m/>
    <m/>
  </r>
  <r>
    <m/>
    <n v="1"/>
    <m/>
    <m/>
  </r>
  <r>
    <n v="1"/>
    <n v="1"/>
    <m/>
    <m/>
  </r>
  <r>
    <m/>
    <m/>
    <m/>
    <m/>
  </r>
  <r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m/>
    <n v="1"/>
    <m/>
    <m/>
  </r>
  <r>
    <m/>
    <n v="1"/>
    <n v="1"/>
    <m/>
  </r>
  <r>
    <m/>
    <n v="1"/>
    <m/>
    <m/>
  </r>
  <r>
    <n v="1"/>
    <m/>
    <m/>
    <m/>
  </r>
  <r>
    <m/>
    <n v="1"/>
    <m/>
    <m/>
  </r>
  <r>
    <m/>
    <m/>
    <m/>
    <m/>
  </r>
  <r>
    <n v="1"/>
    <n v="1"/>
    <m/>
    <m/>
  </r>
  <r>
    <m/>
    <m/>
    <m/>
    <m/>
  </r>
  <r>
    <m/>
    <n v="1"/>
    <m/>
    <m/>
  </r>
  <r>
    <n v="1"/>
    <n v="1"/>
    <m/>
    <m/>
  </r>
  <r>
    <m/>
    <m/>
    <m/>
    <m/>
  </r>
  <r>
    <n v="1"/>
    <n v="1"/>
    <m/>
    <m/>
  </r>
  <r>
    <n v="1"/>
    <n v="1"/>
    <m/>
    <m/>
  </r>
  <r>
    <m/>
    <n v="1"/>
    <m/>
    <m/>
  </r>
  <r>
    <m/>
    <n v="1"/>
    <n v="1"/>
    <n v="1"/>
  </r>
  <r>
    <n v="1"/>
    <n v="1"/>
    <n v="1"/>
    <n v="1"/>
  </r>
  <r>
    <m/>
    <m/>
    <m/>
    <m/>
  </r>
  <r>
    <n v="1"/>
    <m/>
    <m/>
    <m/>
  </r>
  <r>
    <m/>
    <n v="1"/>
    <m/>
    <m/>
  </r>
  <r>
    <n v="1"/>
    <n v="1"/>
    <m/>
    <m/>
  </r>
  <r>
    <m/>
    <m/>
    <m/>
    <m/>
  </r>
  <r>
    <n v="1"/>
    <n v="1"/>
    <m/>
    <m/>
  </r>
  <r>
    <m/>
    <m/>
    <m/>
    <m/>
  </r>
  <r>
    <m/>
    <m/>
    <m/>
    <m/>
  </r>
  <r>
    <n v="1"/>
    <n v="1"/>
    <m/>
    <m/>
  </r>
  <r>
    <m/>
    <n v="1"/>
    <m/>
    <m/>
  </r>
  <r>
    <n v="1"/>
    <n v="1"/>
    <n v="1"/>
    <m/>
  </r>
  <r>
    <m/>
    <m/>
    <m/>
    <m/>
  </r>
  <r>
    <m/>
    <m/>
    <m/>
    <m/>
  </r>
  <r>
    <m/>
    <m/>
    <m/>
    <m/>
  </r>
  <r>
    <n v="1"/>
    <n v="1"/>
    <n v="1"/>
    <m/>
  </r>
  <r>
    <n v="1"/>
    <n v="1"/>
    <m/>
    <m/>
  </r>
  <r>
    <m/>
    <n v="1"/>
    <m/>
    <m/>
  </r>
  <r>
    <n v="1"/>
    <n v="1"/>
    <m/>
    <m/>
  </r>
  <r>
    <m/>
    <m/>
    <m/>
    <m/>
  </r>
  <r>
    <m/>
    <m/>
    <m/>
    <m/>
  </r>
  <r>
    <m/>
    <m/>
    <n v="1"/>
    <m/>
  </r>
  <r>
    <m/>
    <n v="1"/>
    <n v="1"/>
    <m/>
  </r>
  <r>
    <m/>
    <n v="1"/>
    <m/>
    <m/>
  </r>
  <r>
    <m/>
    <n v="1"/>
    <m/>
    <m/>
  </r>
  <r>
    <m/>
    <n v="1"/>
    <m/>
    <m/>
  </r>
  <r>
    <n v="1"/>
    <m/>
    <m/>
    <m/>
  </r>
  <r>
    <n v="1"/>
    <n v="1"/>
    <m/>
    <m/>
  </r>
  <r>
    <m/>
    <m/>
    <m/>
    <m/>
  </r>
  <r>
    <n v="1"/>
    <n v="1"/>
    <n v="1"/>
    <m/>
  </r>
  <r>
    <n v="1"/>
    <m/>
    <n v="1"/>
    <m/>
  </r>
  <r>
    <n v="1"/>
    <m/>
    <m/>
    <m/>
  </r>
  <r>
    <n v="1"/>
    <m/>
    <m/>
    <m/>
  </r>
  <r>
    <n v="1"/>
    <n v="1"/>
    <n v="1"/>
    <m/>
  </r>
  <r>
    <m/>
    <m/>
    <n v="1"/>
    <m/>
  </r>
  <r>
    <n v="1"/>
    <n v="1"/>
    <m/>
    <m/>
  </r>
  <r>
    <n v="1"/>
    <n v="1"/>
    <m/>
    <m/>
  </r>
  <r>
    <n v="1"/>
    <n v="1"/>
    <n v="1"/>
    <n v="1"/>
  </r>
  <r>
    <n v="1"/>
    <n v="1"/>
    <m/>
    <m/>
  </r>
  <r>
    <m/>
    <m/>
    <m/>
    <m/>
  </r>
  <r>
    <m/>
    <m/>
    <n v="1"/>
    <n v="1"/>
  </r>
  <r>
    <n v="1"/>
    <n v="1"/>
    <m/>
    <m/>
  </r>
  <r>
    <n v="1"/>
    <n v="1"/>
    <m/>
    <m/>
  </r>
  <r>
    <n v="1"/>
    <n v="1"/>
    <n v="1"/>
    <m/>
  </r>
  <r>
    <m/>
    <m/>
    <m/>
    <m/>
  </r>
  <r>
    <n v="1"/>
    <n v="1"/>
    <n v="1"/>
    <m/>
  </r>
  <r>
    <m/>
    <m/>
    <n v="1"/>
    <m/>
  </r>
  <r>
    <n v="1"/>
    <m/>
    <m/>
    <m/>
  </r>
  <r>
    <m/>
    <m/>
    <m/>
    <m/>
  </r>
  <r>
    <n v="1"/>
    <n v="1"/>
    <m/>
    <m/>
  </r>
  <r>
    <n v="1"/>
    <m/>
    <m/>
    <m/>
  </r>
  <r>
    <n v="1"/>
    <n v="1"/>
    <n v="1"/>
    <m/>
  </r>
  <r>
    <n v="1"/>
    <n v="1"/>
    <n v="1"/>
    <m/>
  </r>
  <r>
    <m/>
    <n v="1"/>
    <m/>
    <m/>
  </r>
  <r>
    <n v="1"/>
    <n v="1"/>
    <m/>
    <m/>
  </r>
  <r>
    <m/>
    <n v="1"/>
    <m/>
    <m/>
  </r>
  <r>
    <m/>
    <n v="1"/>
    <m/>
    <m/>
  </r>
  <r>
    <m/>
    <m/>
    <m/>
    <m/>
  </r>
  <r>
    <n v="1"/>
    <n v="1"/>
    <m/>
    <m/>
  </r>
  <r>
    <n v="1"/>
    <n v="1"/>
    <m/>
    <m/>
  </r>
  <r>
    <m/>
    <m/>
    <m/>
    <m/>
  </r>
  <r>
    <n v="1"/>
    <n v="1"/>
    <m/>
    <m/>
  </r>
  <r>
    <m/>
    <m/>
    <m/>
    <m/>
  </r>
  <r>
    <m/>
    <m/>
    <m/>
    <m/>
  </r>
  <r>
    <n v="1"/>
    <n v="1"/>
    <m/>
    <m/>
  </r>
  <r>
    <m/>
    <n v="1"/>
    <m/>
    <m/>
  </r>
  <r>
    <n v="1"/>
    <m/>
    <n v="1"/>
    <m/>
  </r>
  <r>
    <n v="1"/>
    <n v="1"/>
    <m/>
    <m/>
  </r>
  <r>
    <m/>
    <m/>
    <m/>
    <m/>
  </r>
  <r>
    <n v="1"/>
    <n v="1"/>
    <m/>
    <m/>
  </r>
  <r>
    <m/>
    <m/>
    <m/>
    <m/>
  </r>
  <r>
    <m/>
    <n v="1"/>
    <m/>
    <m/>
  </r>
  <r>
    <n v="1"/>
    <m/>
    <m/>
    <m/>
  </r>
  <r>
    <n v="1"/>
    <m/>
    <m/>
    <m/>
  </r>
  <r>
    <n v="1"/>
    <n v="1"/>
    <n v="1"/>
    <m/>
  </r>
  <r>
    <m/>
    <m/>
    <m/>
    <m/>
  </r>
  <r>
    <n v="1"/>
    <n v="1"/>
    <m/>
    <m/>
  </r>
  <r>
    <m/>
    <n v="1"/>
    <n v="1"/>
    <m/>
  </r>
  <r>
    <m/>
    <n v="1"/>
    <m/>
    <m/>
  </r>
  <r>
    <n v="1"/>
    <n v="1"/>
    <m/>
    <m/>
  </r>
  <r>
    <m/>
    <n v="1"/>
    <m/>
    <m/>
  </r>
  <r>
    <n v="1"/>
    <n v="1"/>
    <m/>
    <m/>
  </r>
  <r>
    <n v="1"/>
    <m/>
    <m/>
    <m/>
  </r>
  <r>
    <m/>
    <m/>
    <m/>
    <m/>
  </r>
  <r>
    <n v="1"/>
    <n v="1"/>
    <m/>
    <m/>
  </r>
  <r>
    <n v="1"/>
    <n v="1"/>
    <m/>
    <m/>
  </r>
  <r>
    <n v="1"/>
    <n v="1"/>
    <n v="1"/>
    <m/>
  </r>
  <r>
    <n v="1"/>
    <m/>
    <m/>
    <m/>
  </r>
  <r>
    <m/>
    <n v="1"/>
    <m/>
    <m/>
  </r>
  <r>
    <n v="1"/>
    <m/>
    <m/>
    <m/>
  </r>
  <r>
    <n v="1"/>
    <n v="1"/>
    <n v="1"/>
    <m/>
  </r>
  <r>
    <m/>
    <m/>
    <m/>
    <m/>
  </r>
  <r>
    <m/>
    <n v="1"/>
    <n v="1"/>
    <m/>
  </r>
  <r>
    <n v="1"/>
    <n v="1"/>
    <m/>
    <m/>
  </r>
  <r>
    <m/>
    <m/>
    <m/>
    <m/>
  </r>
  <r>
    <n v="1"/>
    <n v="1"/>
    <m/>
    <m/>
  </r>
  <r>
    <n v="1"/>
    <n v="1"/>
    <m/>
    <m/>
  </r>
  <r>
    <n v="1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1"/>
    <n v="1"/>
    <m/>
    <x v="0"/>
  </r>
  <r>
    <m/>
    <m/>
    <m/>
    <x v="0"/>
  </r>
  <r>
    <n v="1"/>
    <n v="1"/>
    <m/>
    <x v="0"/>
  </r>
  <r>
    <n v="1"/>
    <n v="1"/>
    <m/>
    <x v="0"/>
  </r>
  <r>
    <m/>
    <m/>
    <m/>
    <x v="0"/>
  </r>
  <r>
    <m/>
    <m/>
    <m/>
    <x v="0"/>
  </r>
  <r>
    <n v="1"/>
    <n v="1"/>
    <m/>
    <x v="0"/>
  </r>
  <r>
    <m/>
    <m/>
    <m/>
    <x v="0"/>
  </r>
  <r>
    <m/>
    <m/>
    <m/>
    <x v="0"/>
  </r>
  <r>
    <n v="1"/>
    <n v="1"/>
    <m/>
    <x v="0"/>
  </r>
  <r>
    <m/>
    <m/>
    <m/>
    <x v="0"/>
  </r>
  <r>
    <m/>
    <m/>
    <m/>
    <x v="0"/>
  </r>
  <r>
    <n v="1"/>
    <n v="1"/>
    <n v="1"/>
    <x v="0"/>
  </r>
  <r>
    <m/>
    <n v="1"/>
    <n v="1"/>
    <x v="0"/>
  </r>
  <r>
    <m/>
    <m/>
    <m/>
    <x v="0"/>
  </r>
  <r>
    <n v="1"/>
    <n v="1"/>
    <m/>
    <x v="0"/>
  </r>
  <r>
    <m/>
    <m/>
    <m/>
    <x v="0"/>
  </r>
  <r>
    <m/>
    <m/>
    <m/>
    <x v="0"/>
  </r>
  <r>
    <n v="1"/>
    <n v="1"/>
    <n v="1"/>
    <x v="0"/>
  </r>
  <r>
    <m/>
    <m/>
    <m/>
    <x v="0"/>
  </r>
  <r>
    <m/>
    <m/>
    <m/>
    <x v="0"/>
  </r>
  <r>
    <n v="1"/>
    <n v="1"/>
    <m/>
    <x v="0"/>
  </r>
  <r>
    <n v="1"/>
    <n v="1"/>
    <m/>
    <x v="0"/>
  </r>
  <r>
    <m/>
    <m/>
    <m/>
    <x v="0"/>
  </r>
  <r>
    <n v="1"/>
    <n v="1"/>
    <n v="1"/>
    <x v="0"/>
  </r>
  <r>
    <n v="1"/>
    <n v="1"/>
    <m/>
    <x v="0"/>
  </r>
  <r>
    <m/>
    <m/>
    <m/>
    <x v="0"/>
  </r>
  <r>
    <n v="1"/>
    <n v="1"/>
    <m/>
    <x v="0"/>
  </r>
  <r>
    <m/>
    <m/>
    <n v="1"/>
    <x v="0"/>
  </r>
  <r>
    <m/>
    <m/>
    <m/>
    <x v="0"/>
  </r>
  <r>
    <n v="1"/>
    <n v="1"/>
    <m/>
    <x v="0"/>
  </r>
  <r>
    <m/>
    <m/>
    <m/>
    <x v="0"/>
  </r>
  <r>
    <m/>
    <m/>
    <m/>
    <x v="0"/>
  </r>
  <r>
    <m/>
    <m/>
    <m/>
    <x v="0"/>
  </r>
  <r>
    <n v="1"/>
    <n v="1"/>
    <m/>
    <x v="0"/>
  </r>
  <r>
    <n v="1"/>
    <n v="1"/>
    <m/>
    <x v="0"/>
  </r>
  <r>
    <m/>
    <m/>
    <m/>
    <x v="0"/>
  </r>
  <r>
    <m/>
    <m/>
    <m/>
    <x v="0"/>
  </r>
  <r>
    <m/>
    <m/>
    <m/>
    <x v="0"/>
  </r>
  <r>
    <n v="1"/>
    <n v="1"/>
    <m/>
    <x v="0"/>
  </r>
  <r>
    <n v="1"/>
    <n v="1"/>
    <n v="1"/>
    <x v="0"/>
  </r>
  <r>
    <m/>
    <m/>
    <m/>
    <x v="0"/>
  </r>
  <r>
    <n v="1"/>
    <m/>
    <m/>
    <x v="0"/>
  </r>
  <r>
    <m/>
    <m/>
    <m/>
    <x v="0"/>
  </r>
  <r>
    <m/>
    <m/>
    <n v="1"/>
    <x v="0"/>
  </r>
  <r>
    <n v="1"/>
    <m/>
    <m/>
    <x v="0"/>
  </r>
  <r>
    <m/>
    <n v="1"/>
    <n v="1"/>
    <x v="0"/>
  </r>
  <r>
    <m/>
    <m/>
    <m/>
    <x v="0"/>
  </r>
  <r>
    <m/>
    <m/>
    <m/>
    <x v="0"/>
  </r>
  <r>
    <m/>
    <m/>
    <n v="1"/>
    <x v="0"/>
  </r>
  <r>
    <n v="1"/>
    <n v="1"/>
    <m/>
    <x v="0"/>
  </r>
  <r>
    <m/>
    <m/>
    <m/>
    <x v="0"/>
  </r>
  <r>
    <m/>
    <m/>
    <m/>
    <x v="0"/>
  </r>
  <r>
    <m/>
    <m/>
    <m/>
    <x v="0"/>
  </r>
  <r>
    <m/>
    <m/>
    <m/>
    <x v="0"/>
  </r>
  <r>
    <m/>
    <m/>
    <m/>
    <x v="0"/>
  </r>
  <r>
    <m/>
    <m/>
    <m/>
    <x v="0"/>
  </r>
  <r>
    <m/>
    <m/>
    <n v="1"/>
    <x v="0"/>
  </r>
  <r>
    <n v="1"/>
    <n v="1"/>
    <m/>
    <x v="0"/>
  </r>
  <r>
    <n v="1"/>
    <n v="1"/>
    <n v="1"/>
    <x v="0"/>
  </r>
  <r>
    <m/>
    <m/>
    <m/>
    <x v="0"/>
  </r>
  <r>
    <n v="1"/>
    <n v="1"/>
    <n v="1"/>
    <x v="0"/>
  </r>
  <r>
    <m/>
    <m/>
    <m/>
    <x v="0"/>
  </r>
  <r>
    <n v="1"/>
    <n v="1"/>
    <m/>
    <x v="0"/>
  </r>
  <r>
    <n v="1"/>
    <n v="1"/>
    <m/>
    <x v="0"/>
  </r>
  <r>
    <m/>
    <m/>
    <n v="1"/>
    <x v="0"/>
  </r>
  <r>
    <n v="1"/>
    <n v="1"/>
    <m/>
    <x v="0"/>
  </r>
  <r>
    <m/>
    <m/>
    <m/>
    <x v="0"/>
  </r>
  <r>
    <m/>
    <m/>
    <m/>
    <x v="0"/>
  </r>
  <r>
    <n v="1"/>
    <n v="1"/>
    <m/>
    <x v="0"/>
  </r>
  <r>
    <n v="1"/>
    <n v="1"/>
    <m/>
    <x v="0"/>
  </r>
  <r>
    <m/>
    <m/>
    <m/>
    <x v="0"/>
  </r>
  <r>
    <m/>
    <m/>
    <m/>
    <x v="0"/>
  </r>
  <r>
    <n v="1"/>
    <n v="1"/>
    <m/>
    <x v="0"/>
  </r>
  <r>
    <n v="1"/>
    <n v="1"/>
    <m/>
    <x v="0"/>
  </r>
  <r>
    <m/>
    <m/>
    <m/>
    <x v="0"/>
  </r>
  <r>
    <m/>
    <m/>
    <m/>
    <x v="0"/>
  </r>
  <r>
    <m/>
    <m/>
    <m/>
    <x v="0"/>
  </r>
  <r>
    <n v="1"/>
    <n v="1"/>
    <m/>
    <x v="0"/>
  </r>
  <r>
    <n v="1"/>
    <n v="1"/>
    <m/>
    <x v="0"/>
  </r>
  <r>
    <n v="1"/>
    <n v="1"/>
    <m/>
    <x v="0"/>
  </r>
  <r>
    <m/>
    <m/>
    <m/>
    <x v="0"/>
  </r>
  <r>
    <n v="1"/>
    <n v="1"/>
    <m/>
    <x v="0"/>
  </r>
  <r>
    <m/>
    <m/>
    <m/>
    <x v="0"/>
  </r>
  <r>
    <m/>
    <m/>
    <m/>
    <x v="0"/>
  </r>
  <r>
    <n v="1"/>
    <n v="1"/>
    <n v="1"/>
    <x v="0"/>
  </r>
  <r>
    <n v="1"/>
    <n v="1"/>
    <n v="1"/>
    <x v="0"/>
  </r>
  <r>
    <m/>
    <m/>
    <m/>
    <x v="0"/>
  </r>
  <r>
    <n v="1"/>
    <m/>
    <m/>
    <x v="0"/>
  </r>
  <r>
    <n v="1"/>
    <m/>
    <m/>
    <x v="0"/>
  </r>
  <r>
    <n v="1"/>
    <n v="1"/>
    <n v="1"/>
    <x v="0"/>
  </r>
  <r>
    <n v="1"/>
    <m/>
    <m/>
    <x v="0"/>
  </r>
  <r>
    <n v="1"/>
    <n v="1"/>
    <n v="1"/>
    <x v="0"/>
  </r>
  <r>
    <n v="1"/>
    <m/>
    <m/>
    <x v="0"/>
  </r>
  <r>
    <n v="1"/>
    <n v="1"/>
    <m/>
    <x v="0"/>
  </r>
  <r>
    <n v="1"/>
    <n v="1"/>
    <n v="1"/>
    <x v="0"/>
  </r>
  <r>
    <m/>
    <m/>
    <m/>
    <x v="0"/>
  </r>
  <r>
    <m/>
    <m/>
    <m/>
    <x v="0"/>
  </r>
  <r>
    <n v="1"/>
    <m/>
    <m/>
    <x v="0"/>
  </r>
  <r>
    <m/>
    <m/>
    <m/>
    <x v="0"/>
  </r>
  <r>
    <m/>
    <m/>
    <m/>
    <x v="0"/>
  </r>
  <r>
    <n v="1"/>
    <n v="1"/>
    <m/>
    <x v="0"/>
  </r>
  <r>
    <n v="1"/>
    <n v="1"/>
    <m/>
    <x v="0"/>
  </r>
  <r>
    <m/>
    <m/>
    <m/>
    <x v="0"/>
  </r>
  <r>
    <n v="1"/>
    <n v="1"/>
    <m/>
    <x v="0"/>
  </r>
  <r>
    <n v="1"/>
    <n v="1"/>
    <m/>
    <x v="0"/>
  </r>
  <r>
    <m/>
    <m/>
    <n v="1"/>
    <x v="0"/>
  </r>
  <r>
    <n v="1"/>
    <n v="1"/>
    <m/>
    <x v="0"/>
  </r>
  <r>
    <m/>
    <m/>
    <m/>
    <x v="0"/>
  </r>
  <r>
    <n v="1"/>
    <m/>
    <m/>
    <x v="0"/>
  </r>
  <r>
    <n v="1"/>
    <n v="1"/>
    <m/>
    <x v="0"/>
  </r>
  <r>
    <n v="1"/>
    <m/>
    <m/>
    <x v="0"/>
  </r>
  <r>
    <m/>
    <m/>
    <m/>
    <x v="0"/>
  </r>
  <r>
    <m/>
    <m/>
    <m/>
    <x v="0"/>
  </r>
  <r>
    <n v="1"/>
    <n v="1"/>
    <m/>
    <x v="0"/>
  </r>
  <r>
    <m/>
    <m/>
    <m/>
    <x v="0"/>
  </r>
  <r>
    <m/>
    <m/>
    <m/>
    <x v="0"/>
  </r>
  <r>
    <m/>
    <m/>
    <m/>
    <x v="0"/>
  </r>
  <r>
    <n v="1"/>
    <n v="1"/>
    <m/>
    <x v="0"/>
  </r>
  <r>
    <n v="1"/>
    <n v="1"/>
    <m/>
    <x v="0"/>
  </r>
  <r>
    <m/>
    <m/>
    <m/>
    <x v="0"/>
  </r>
  <r>
    <n v="1"/>
    <n v="1"/>
    <m/>
    <x v="0"/>
  </r>
  <r>
    <m/>
    <m/>
    <m/>
    <x v="0"/>
  </r>
  <r>
    <n v="1"/>
    <n v="1"/>
    <m/>
    <x v="0"/>
  </r>
  <r>
    <n v="1"/>
    <n v="1"/>
    <n v="1"/>
    <x v="0"/>
  </r>
  <r>
    <n v="1"/>
    <n v="1"/>
    <m/>
    <x v="0"/>
  </r>
  <r>
    <m/>
    <m/>
    <m/>
    <x v="0"/>
  </r>
  <r>
    <m/>
    <m/>
    <m/>
    <x v="0"/>
  </r>
  <r>
    <m/>
    <m/>
    <m/>
    <x v="0"/>
  </r>
  <r>
    <m/>
    <m/>
    <m/>
    <x v="0"/>
  </r>
  <r>
    <m/>
    <m/>
    <m/>
    <x v="0"/>
  </r>
  <r>
    <n v="1"/>
    <n v="1"/>
    <n v="1"/>
    <x v="0"/>
  </r>
  <r>
    <m/>
    <m/>
    <m/>
    <x v="0"/>
  </r>
  <r>
    <m/>
    <m/>
    <m/>
    <x v="0"/>
  </r>
  <r>
    <m/>
    <m/>
    <m/>
    <x v="0"/>
  </r>
  <r>
    <n v="1"/>
    <n v="1"/>
    <m/>
    <x v="0"/>
  </r>
  <r>
    <m/>
    <m/>
    <m/>
    <x v="0"/>
  </r>
  <r>
    <m/>
    <m/>
    <m/>
    <x v="0"/>
  </r>
  <r>
    <n v="1"/>
    <n v="1"/>
    <m/>
    <x v="0"/>
  </r>
  <r>
    <n v="1"/>
    <m/>
    <m/>
    <x v="0"/>
  </r>
  <r>
    <n v="1"/>
    <n v="1"/>
    <n v="1"/>
    <x v="0"/>
  </r>
  <r>
    <m/>
    <m/>
    <n v="1"/>
    <x v="0"/>
  </r>
  <r>
    <n v="1"/>
    <m/>
    <m/>
    <x v="0"/>
  </r>
  <r>
    <m/>
    <m/>
    <m/>
    <x v="0"/>
  </r>
  <r>
    <m/>
    <m/>
    <m/>
    <x v="0"/>
  </r>
  <r>
    <m/>
    <m/>
    <m/>
    <x v="0"/>
  </r>
  <r>
    <n v="1"/>
    <n v="1"/>
    <n v="1"/>
    <x v="0"/>
  </r>
  <r>
    <m/>
    <m/>
    <m/>
    <x v="0"/>
  </r>
  <r>
    <n v="1"/>
    <n v="1"/>
    <m/>
    <x v="0"/>
  </r>
  <r>
    <n v="1"/>
    <n v="1"/>
    <m/>
    <x v="0"/>
  </r>
  <r>
    <m/>
    <m/>
    <m/>
    <x v="0"/>
  </r>
  <r>
    <n v="1"/>
    <n v="1"/>
    <n v="1"/>
    <x v="0"/>
  </r>
  <r>
    <m/>
    <m/>
    <m/>
    <x v="0"/>
  </r>
  <r>
    <m/>
    <m/>
    <m/>
    <x v="0"/>
  </r>
  <r>
    <m/>
    <m/>
    <m/>
    <x v="0"/>
  </r>
  <r>
    <m/>
    <m/>
    <m/>
    <x v="0"/>
  </r>
  <r>
    <n v="1"/>
    <n v="1"/>
    <m/>
    <x v="0"/>
  </r>
  <r>
    <m/>
    <m/>
    <m/>
    <x v="0"/>
  </r>
  <r>
    <n v="1"/>
    <n v="1"/>
    <m/>
    <x v="0"/>
  </r>
  <r>
    <n v="1"/>
    <m/>
    <m/>
    <x v="0"/>
  </r>
  <r>
    <n v="1"/>
    <n v="1"/>
    <m/>
    <x v="0"/>
  </r>
  <r>
    <m/>
    <m/>
    <m/>
    <x v="0"/>
  </r>
  <r>
    <m/>
    <m/>
    <m/>
    <x v="0"/>
  </r>
  <r>
    <m/>
    <m/>
    <m/>
    <x v="0"/>
  </r>
  <r>
    <n v="1"/>
    <n v="1"/>
    <m/>
    <x v="0"/>
  </r>
  <r>
    <m/>
    <m/>
    <m/>
    <x v="0"/>
  </r>
  <r>
    <m/>
    <m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m/>
    <m/>
    <m/>
    <m/>
  </r>
  <r>
    <n v="1"/>
    <n v="1"/>
    <n v="1"/>
    <m/>
  </r>
  <r>
    <m/>
    <m/>
    <m/>
    <m/>
  </r>
  <r>
    <m/>
    <m/>
    <m/>
    <m/>
  </r>
  <r>
    <m/>
    <m/>
    <m/>
    <m/>
  </r>
  <r>
    <n v="1"/>
    <n v="1"/>
    <m/>
    <m/>
  </r>
  <r>
    <m/>
    <n v="1"/>
    <m/>
    <m/>
  </r>
  <r>
    <n v="1"/>
    <n v="1"/>
    <m/>
    <m/>
  </r>
  <r>
    <n v="1"/>
    <n v="1"/>
    <m/>
    <m/>
  </r>
  <r>
    <n v="1"/>
    <n v="1"/>
    <m/>
    <m/>
  </r>
  <r>
    <n v="1"/>
    <n v="1"/>
    <m/>
    <m/>
  </r>
  <r>
    <m/>
    <n v="1"/>
    <m/>
    <m/>
  </r>
  <r>
    <m/>
    <m/>
    <m/>
    <m/>
  </r>
  <r>
    <m/>
    <m/>
    <m/>
    <m/>
  </r>
  <r>
    <m/>
    <m/>
    <m/>
    <m/>
  </r>
  <r>
    <n v="1"/>
    <n v="1"/>
    <m/>
    <m/>
  </r>
  <r>
    <m/>
    <m/>
    <m/>
    <m/>
  </r>
  <r>
    <n v="1"/>
    <m/>
    <m/>
    <m/>
  </r>
  <r>
    <n v="1"/>
    <n v="1"/>
    <n v="1"/>
    <m/>
  </r>
  <r>
    <n v="1"/>
    <n v="1"/>
    <n v="1"/>
    <m/>
  </r>
  <r>
    <m/>
    <m/>
    <m/>
    <m/>
  </r>
  <r>
    <n v="1"/>
    <n v="1"/>
    <m/>
    <m/>
  </r>
  <r>
    <n v="1"/>
    <n v="1"/>
    <n v="1"/>
    <m/>
  </r>
  <r>
    <m/>
    <m/>
    <m/>
    <m/>
  </r>
  <r>
    <n v="1"/>
    <n v="1"/>
    <n v="1"/>
    <m/>
  </r>
  <r>
    <m/>
    <n v="1"/>
    <m/>
    <m/>
  </r>
  <r>
    <m/>
    <m/>
    <m/>
    <m/>
  </r>
  <r>
    <m/>
    <m/>
    <m/>
    <m/>
  </r>
  <r>
    <m/>
    <m/>
    <m/>
    <m/>
  </r>
  <r>
    <n v="1"/>
    <n v="1"/>
    <n v="1"/>
    <m/>
  </r>
  <r>
    <m/>
    <m/>
    <m/>
    <m/>
  </r>
  <r>
    <n v="1"/>
    <m/>
    <m/>
    <m/>
  </r>
  <r>
    <m/>
    <m/>
    <m/>
    <m/>
  </r>
  <r>
    <n v="1"/>
    <n v="1"/>
    <m/>
    <m/>
  </r>
  <r>
    <n v="1"/>
    <m/>
    <m/>
    <m/>
  </r>
  <r>
    <m/>
    <m/>
    <m/>
    <m/>
  </r>
  <r>
    <n v="1"/>
    <n v="1"/>
    <m/>
    <m/>
  </r>
  <r>
    <m/>
    <n v="1"/>
    <m/>
    <m/>
  </r>
  <r>
    <n v="1"/>
    <n v="1"/>
    <m/>
    <m/>
  </r>
  <r>
    <m/>
    <m/>
    <m/>
    <m/>
  </r>
  <r>
    <n v="1"/>
    <n v="1"/>
    <m/>
    <m/>
  </r>
  <r>
    <n v="1"/>
    <n v="1"/>
    <m/>
    <m/>
  </r>
  <r>
    <n v="1"/>
    <n v="1"/>
    <n v="1"/>
    <n v="1"/>
  </r>
  <r>
    <n v="1"/>
    <n v="1"/>
    <m/>
    <m/>
  </r>
  <r>
    <n v="1"/>
    <n v="1"/>
    <n v="1"/>
    <m/>
  </r>
  <r>
    <n v="1"/>
    <n v="1"/>
    <m/>
    <m/>
  </r>
  <r>
    <m/>
    <m/>
    <m/>
    <m/>
  </r>
  <r>
    <n v="1"/>
    <n v="1"/>
    <m/>
    <m/>
  </r>
  <r>
    <m/>
    <m/>
    <m/>
    <m/>
  </r>
  <r>
    <n v="1"/>
    <n v="1"/>
    <m/>
    <m/>
  </r>
  <r>
    <m/>
    <n v="1"/>
    <n v="1"/>
    <n v="1"/>
  </r>
  <r>
    <m/>
    <m/>
    <m/>
    <m/>
  </r>
  <r>
    <n v="1"/>
    <n v="1"/>
    <m/>
    <m/>
  </r>
  <r>
    <n v="1"/>
    <n v="1"/>
    <m/>
    <m/>
  </r>
  <r>
    <n v="1"/>
    <n v="1"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n v="1"/>
    <n v="1"/>
    <m/>
    <m/>
  </r>
  <r>
    <m/>
    <m/>
    <m/>
    <m/>
  </r>
  <r>
    <n v="1"/>
    <n v="1"/>
    <n v="1"/>
    <m/>
  </r>
  <r>
    <m/>
    <m/>
    <m/>
    <m/>
  </r>
  <r>
    <m/>
    <m/>
    <m/>
    <m/>
  </r>
  <r>
    <m/>
    <m/>
    <m/>
    <m/>
  </r>
  <r>
    <n v="1"/>
    <n v="1"/>
    <m/>
    <m/>
  </r>
  <r>
    <n v="1"/>
    <m/>
    <m/>
    <m/>
  </r>
  <r>
    <n v="1"/>
    <n v="1"/>
    <n v="1"/>
    <m/>
  </r>
  <r>
    <m/>
    <m/>
    <m/>
    <m/>
  </r>
  <r>
    <n v="1"/>
    <n v="1"/>
    <m/>
    <m/>
  </r>
  <r>
    <n v="1"/>
    <n v="1"/>
    <m/>
    <m/>
  </r>
  <r>
    <n v="1"/>
    <n v="1"/>
    <n v="1"/>
    <m/>
  </r>
  <r>
    <n v="1"/>
    <n v="1"/>
    <m/>
    <m/>
  </r>
  <r>
    <m/>
    <m/>
    <m/>
    <m/>
  </r>
  <r>
    <n v="1"/>
    <n v="1"/>
    <m/>
    <m/>
  </r>
  <r>
    <m/>
    <m/>
    <m/>
    <m/>
  </r>
  <r>
    <n v="1"/>
    <n v="1"/>
    <m/>
    <m/>
  </r>
  <r>
    <n v="1"/>
    <n v="1"/>
    <m/>
    <m/>
  </r>
  <r>
    <m/>
    <n v="1"/>
    <n v="1"/>
    <m/>
  </r>
  <r>
    <m/>
    <m/>
    <m/>
    <m/>
  </r>
  <r>
    <n v="1"/>
    <m/>
    <m/>
    <m/>
  </r>
  <r>
    <m/>
    <m/>
    <m/>
    <m/>
  </r>
  <r>
    <m/>
    <m/>
    <m/>
    <m/>
  </r>
  <r>
    <m/>
    <m/>
    <m/>
    <m/>
  </r>
  <r>
    <n v="1"/>
    <m/>
    <m/>
    <m/>
  </r>
  <r>
    <n v="1"/>
    <n v="1"/>
    <m/>
    <m/>
  </r>
  <r>
    <m/>
    <m/>
    <m/>
    <m/>
  </r>
  <r>
    <m/>
    <m/>
    <m/>
    <m/>
  </r>
  <r>
    <m/>
    <n v="1"/>
    <n v="1"/>
    <m/>
  </r>
  <r>
    <n v="1"/>
    <n v="1"/>
    <n v="1"/>
    <m/>
  </r>
  <r>
    <n v="1"/>
    <n v="1"/>
    <m/>
    <m/>
  </r>
  <r>
    <m/>
    <m/>
    <m/>
    <m/>
  </r>
  <r>
    <n v="1"/>
    <n v="1"/>
    <m/>
    <m/>
  </r>
  <r>
    <m/>
    <n v="1"/>
    <n v="1"/>
    <n v="1"/>
  </r>
  <r>
    <m/>
    <m/>
    <m/>
    <m/>
  </r>
  <r>
    <n v="1"/>
    <n v="1"/>
    <m/>
    <m/>
  </r>
  <r>
    <n v="1"/>
    <n v="1"/>
    <n v="1"/>
    <m/>
  </r>
  <r>
    <n v="1"/>
    <n v="1"/>
    <m/>
    <m/>
  </r>
  <r>
    <m/>
    <n v="1"/>
    <m/>
    <m/>
  </r>
  <r>
    <n v="1"/>
    <n v="1"/>
    <m/>
    <m/>
  </r>
  <r>
    <m/>
    <m/>
    <m/>
    <m/>
  </r>
  <r>
    <n v="1"/>
    <m/>
    <m/>
    <m/>
  </r>
  <r>
    <m/>
    <m/>
    <m/>
    <m/>
  </r>
  <r>
    <m/>
    <m/>
    <m/>
    <m/>
  </r>
  <r>
    <n v="1"/>
    <m/>
    <m/>
    <m/>
  </r>
  <r>
    <n v="1"/>
    <n v="1"/>
    <n v="1"/>
    <m/>
  </r>
  <r>
    <m/>
    <m/>
    <m/>
    <m/>
  </r>
  <r>
    <n v="1"/>
    <n v="1"/>
    <m/>
    <m/>
  </r>
  <r>
    <m/>
    <m/>
    <m/>
    <m/>
  </r>
  <r>
    <n v="1"/>
    <m/>
    <m/>
    <m/>
  </r>
  <r>
    <m/>
    <m/>
    <m/>
    <m/>
  </r>
  <r>
    <n v="1"/>
    <n v="1"/>
    <m/>
    <m/>
  </r>
  <r>
    <m/>
    <n v="1"/>
    <m/>
    <m/>
  </r>
  <r>
    <m/>
    <m/>
    <m/>
    <m/>
  </r>
  <r>
    <n v="1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m/>
    <m/>
    <m/>
    <m/>
  </r>
  <r>
    <m/>
    <n v="1"/>
    <m/>
    <m/>
  </r>
  <r>
    <m/>
    <m/>
    <n v="1"/>
    <m/>
  </r>
  <r>
    <n v="1"/>
    <n v="1"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n v="1"/>
    <m/>
    <m/>
  </r>
  <r>
    <n v="1"/>
    <n v="1"/>
    <m/>
    <m/>
  </r>
  <r>
    <n v="1"/>
    <n v="1"/>
    <n v="1"/>
    <m/>
  </r>
  <r>
    <m/>
    <n v="1"/>
    <m/>
    <m/>
  </r>
  <r>
    <m/>
    <m/>
    <m/>
    <m/>
  </r>
  <r>
    <m/>
    <n v="1"/>
    <m/>
    <m/>
  </r>
  <r>
    <m/>
    <n v="1"/>
    <m/>
    <m/>
  </r>
  <r>
    <m/>
    <n v="1"/>
    <n v="1"/>
    <m/>
  </r>
  <r>
    <m/>
    <m/>
    <n v="1"/>
    <m/>
  </r>
  <r>
    <m/>
    <m/>
    <m/>
    <m/>
  </r>
  <r>
    <n v="1"/>
    <n v="1"/>
    <n v="1"/>
    <m/>
  </r>
  <r>
    <m/>
    <m/>
    <m/>
    <m/>
  </r>
  <r>
    <m/>
    <m/>
    <m/>
    <m/>
  </r>
  <r>
    <n v="1"/>
    <n v="1"/>
    <n v="1"/>
    <n v="1"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n v="1"/>
    <n v="1"/>
    <n v="1"/>
    <m/>
  </r>
  <r>
    <m/>
    <m/>
    <m/>
    <m/>
  </r>
  <r>
    <m/>
    <n v="1"/>
    <m/>
    <m/>
  </r>
  <r>
    <m/>
    <n v="1"/>
    <n v="1"/>
    <m/>
  </r>
  <r>
    <m/>
    <m/>
    <m/>
    <m/>
  </r>
  <r>
    <m/>
    <m/>
    <m/>
    <m/>
  </r>
  <r>
    <n v="1"/>
    <n v="1"/>
    <m/>
    <m/>
  </r>
  <r>
    <m/>
    <m/>
    <m/>
    <m/>
  </r>
  <r>
    <n v="1"/>
    <n v="1"/>
    <m/>
    <m/>
  </r>
  <r>
    <m/>
    <n v="1"/>
    <m/>
    <m/>
  </r>
  <r>
    <m/>
    <n v="1"/>
    <m/>
    <m/>
  </r>
  <r>
    <m/>
    <n v="1"/>
    <m/>
    <m/>
  </r>
  <r>
    <n v="1"/>
    <n v="1"/>
    <m/>
    <m/>
  </r>
  <r>
    <m/>
    <m/>
    <m/>
    <m/>
  </r>
  <r>
    <m/>
    <m/>
    <m/>
    <m/>
  </r>
  <r>
    <m/>
    <m/>
    <m/>
    <m/>
  </r>
  <r>
    <n v="1"/>
    <n v="1"/>
    <n v="1"/>
    <m/>
  </r>
  <r>
    <m/>
    <n v="1"/>
    <m/>
    <m/>
  </r>
  <r>
    <n v="1"/>
    <n v="1"/>
    <n v="1"/>
    <m/>
  </r>
  <r>
    <m/>
    <m/>
    <m/>
    <m/>
  </r>
  <r>
    <n v="1"/>
    <n v="1"/>
    <m/>
    <m/>
  </r>
  <r>
    <m/>
    <m/>
    <m/>
    <m/>
  </r>
  <r>
    <m/>
    <m/>
    <m/>
    <m/>
  </r>
  <r>
    <m/>
    <m/>
    <m/>
    <m/>
  </r>
  <r>
    <m/>
    <m/>
    <m/>
    <m/>
  </r>
  <r>
    <n v="1"/>
    <n v="1"/>
    <m/>
    <m/>
  </r>
  <r>
    <m/>
    <m/>
    <m/>
    <m/>
  </r>
  <r>
    <m/>
    <m/>
    <m/>
    <m/>
  </r>
  <r>
    <n v="1"/>
    <m/>
    <m/>
    <m/>
  </r>
  <r>
    <m/>
    <m/>
    <n v="1"/>
    <m/>
  </r>
  <r>
    <m/>
    <m/>
    <m/>
    <m/>
  </r>
  <r>
    <m/>
    <n v="1"/>
    <n v="1"/>
    <m/>
  </r>
  <r>
    <n v="1"/>
    <n v="1"/>
    <m/>
    <m/>
  </r>
  <r>
    <m/>
    <m/>
    <m/>
    <m/>
  </r>
  <r>
    <m/>
    <m/>
    <m/>
    <m/>
  </r>
  <r>
    <m/>
    <m/>
    <m/>
    <m/>
  </r>
  <r>
    <n v="1"/>
    <n v="1"/>
    <m/>
    <m/>
  </r>
  <r>
    <m/>
    <m/>
    <m/>
    <m/>
  </r>
  <r>
    <m/>
    <m/>
    <m/>
    <m/>
  </r>
  <r>
    <n v="1"/>
    <n v="1"/>
    <m/>
    <m/>
  </r>
  <r>
    <m/>
    <n v="1"/>
    <m/>
    <m/>
  </r>
  <r>
    <m/>
    <n v="1"/>
    <m/>
    <m/>
  </r>
  <r>
    <m/>
    <m/>
    <m/>
    <m/>
  </r>
  <r>
    <m/>
    <m/>
    <m/>
    <m/>
  </r>
  <r>
    <n v="1"/>
    <n v="1"/>
    <m/>
    <m/>
  </r>
  <r>
    <m/>
    <m/>
    <m/>
    <m/>
  </r>
  <r>
    <n v="1"/>
    <n v="1"/>
    <m/>
    <m/>
  </r>
  <r>
    <m/>
    <n v="1"/>
    <m/>
    <m/>
  </r>
  <r>
    <n v="1"/>
    <n v="1"/>
    <m/>
    <m/>
  </r>
  <r>
    <n v="1"/>
    <n v="1"/>
    <n v="1"/>
    <m/>
  </r>
  <r>
    <m/>
    <n v="1"/>
    <m/>
    <m/>
  </r>
  <r>
    <m/>
    <m/>
    <m/>
    <m/>
  </r>
  <r>
    <n v="1"/>
    <m/>
    <m/>
    <m/>
  </r>
  <r>
    <m/>
    <m/>
    <m/>
    <m/>
  </r>
  <r>
    <n v="1"/>
    <n v="1"/>
    <n v="1"/>
    <m/>
  </r>
  <r>
    <m/>
    <n v="1"/>
    <m/>
    <m/>
  </r>
  <r>
    <m/>
    <n v="1"/>
    <n v="1"/>
    <n v="1"/>
  </r>
  <r>
    <n v="1"/>
    <n v="1"/>
    <m/>
    <m/>
  </r>
  <r>
    <m/>
    <m/>
    <m/>
    <m/>
  </r>
  <r>
    <n v="1"/>
    <n v="1"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n v="1"/>
    <n v="1"/>
    <m/>
  </r>
  <r>
    <n v="1"/>
    <n v="1"/>
    <m/>
    <m/>
  </r>
  <r>
    <m/>
    <m/>
    <m/>
    <m/>
  </r>
  <r>
    <m/>
    <m/>
    <m/>
    <m/>
  </r>
  <r>
    <n v="1"/>
    <n v="1"/>
    <m/>
    <m/>
  </r>
  <r>
    <m/>
    <m/>
    <m/>
    <m/>
  </r>
  <r>
    <n v="1"/>
    <n v="1"/>
    <n v="1"/>
    <n v="1"/>
  </r>
  <r>
    <n v="1"/>
    <n v="1"/>
    <m/>
    <m/>
  </r>
  <r>
    <m/>
    <m/>
    <m/>
    <m/>
  </r>
  <r>
    <n v="1"/>
    <n v="1"/>
    <m/>
    <m/>
  </r>
  <r>
    <m/>
    <m/>
    <m/>
    <m/>
  </r>
  <r>
    <m/>
    <m/>
    <m/>
    <m/>
  </r>
  <r>
    <n v="1"/>
    <n v="1"/>
    <m/>
    <m/>
  </r>
  <r>
    <n v="1"/>
    <n v="1"/>
    <m/>
    <m/>
  </r>
  <r>
    <n v="1"/>
    <n v="1"/>
    <n v="1"/>
    <m/>
  </r>
  <r>
    <m/>
    <m/>
    <m/>
    <m/>
  </r>
  <r>
    <m/>
    <m/>
    <m/>
    <m/>
  </r>
  <r>
    <m/>
    <m/>
    <m/>
    <m/>
  </r>
  <r>
    <m/>
    <m/>
    <m/>
    <m/>
  </r>
  <r>
    <n v="1"/>
    <n v="1"/>
    <m/>
    <m/>
  </r>
  <r>
    <m/>
    <m/>
    <m/>
    <m/>
  </r>
  <r>
    <m/>
    <m/>
    <m/>
    <m/>
  </r>
  <r>
    <m/>
    <m/>
    <m/>
    <m/>
  </r>
  <r>
    <m/>
    <n v="1"/>
    <n v="1"/>
    <m/>
  </r>
  <r>
    <m/>
    <n v="1"/>
    <m/>
    <m/>
  </r>
  <r>
    <n v="1"/>
    <n v="1"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1"/>
    <n v="1"/>
    <m/>
    <m/>
  </r>
  <r>
    <n v="1"/>
    <n v="1"/>
    <n v="1"/>
    <m/>
  </r>
  <r>
    <m/>
    <n v="1"/>
    <m/>
    <m/>
  </r>
  <r>
    <m/>
    <n v="1"/>
    <m/>
    <m/>
  </r>
  <r>
    <n v="1"/>
    <n v="1"/>
    <n v="1"/>
    <m/>
  </r>
  <r>
    <m/>
    <n v="1"/>
    <m/>
    <m/>
  </r>
  <r>
    <n v="1"/>
    <n v="1"/>
    <m/>
    <m/>
  </r>
  <r>
    <n v="1"/>
    <n v="1"/>
    <m/>
    <m/>
  </r>
  <r>
    <n v="1"/>
    <n v="1"/>
    <m/>
    <m/>
  </r>
  <r>
    <m/>
    <n v="1"/>
    <m/>
    <m/>
  </r>
  <r>
    <m/>
    <m/>
    <m/>
    <m/>
  </r>
  <r>
    <n v="1"/>
    <n v="1"/>
    <m/>
    <m/>
  </r>
  <r>
    <n v="1"/>
    <n v="1"/>
    <n v="1"/>
    <m/>
  </r>
  <r>
    <m/>
    <m/>
    <m/>
    <m/>
  </r>
  <r>
    <m/>
    <m/>
    <m/>
    <m/>
  </r>
  <r>
    <m/>
    <n v="1"/>
    <m/>
    <m/>
  </r>
  <r>
    <n v="1"/>
    <n v="1"/>
    <m/>
    <m/>
  </r>
  <r>
    <n v="1"/>
    <n v="1"/>
    <n v="1"/>
    <m/>
  </r>
  <r>
    <m/>
    <m/>
    <m/>
    <m/>
  </r>
  <r>
    <m/>
    <m/>
    <m/>
    <m/>
  </r>
  <r>
    <m/>
    <m/>
    <m/>
    <m/>
  </r>
  <r>
    <m/>
    <m/>
    <m/>
    <m/>
  </r>
  <r>
    <n v="1"/>
    <n v="1"/>
    <m/>
    <m/>
  </r>
  <r>
    <m/>
    <m/>
    <m/>
    <m/>
  </r>
  <r>
    <n v="1"/>
    <n v="1"/>
    <n v="1"/>
    <n v="1"/>
  </r>
  <r>
    <m/>
    <n v="1"/>
    <m/>
    <m/>
  </r>
  <r>
    <n v="1"/>
    <n v="1"/>
    <m/>
    <m/>
  </r>
  <r>
    <n v="1"/>
    <n v="1"/>
    <m/>
    <m/>
  </r>
  <r>
    <n v="1"/>
    <n v="1"/>
    <n v="1"/>
    <m/>
  </r>
  <r>
    <n v="1"/>
    <n v="1"/>
    <m/>
    <m/>
  </r>
  <r>
    <m/>
    <m/>
    <m/>
    <m/>
  </r>
  <r>
    <m/>
    <n v="1"/>
    <n v="1"/>
    <m/>
  </r>
  <r>
    <n v="1"/>
    <n v="1"/>
    <m/>
    <m/>
  </r>
  <r>
    <n v="1"/>
    <n v="1"/>
    <m/>
    <m/>
  </r>
  <r>
    <n v="1"/>
    <n v="1"/>
    <m/>
    <m/>
  </r>
  <r>
    <m/>
    <m/>
    <m/>
    <m/>
  </r>
  <r>
    <n v="1"/>
    <n v="1"/>
    <m/>
    <m/>
  </r>
  <r>
    <m/>
    <m/>
    <m/>
    <m/>
  </r>
  <r>
    <n v="1"/>
    <n v="1"/>
    <m/>
    <m/>
  </r>
  <r>
    <n v="1"/>
    <n v="1"/>
    <m/>
    <m/>
  </r>
  <r>
    <n v="1"/>
    <n v="1"/>
    <m/>
    <m/>
  </r>
  <r>
    <m/>
    <m/>
    <m/>
    <m/>
  </r>
  <r>
    <m/>
    <n v="1"/>
    <m/>
    <m/>
  </r>
  <r>
    <m/>
    <n v="1"/>
    <m/>
    <m/>
  </r>
  <r>
    <m/>
    <n v="1"/>
    <n v="1"/>
    <m/>
  </r>
  <r>
    <n v="1"/>
    <n v="1"/>
    <m/>
    <m/>
  </r>
  <r>
    <m/>
    <m/>
    <m/>
    <m/>
  </r>
  <r>
    <m/>
    <n v="1"/>
    <n v="1"/>
    <m/>
  </r>
  <r>
    <n v="1"/>
    <n v="1"/>
    <m/>
    <m/>
  </r>
  <r>
    <m/>
    <m/>
    <m/>
    <m/>
  </r>
  <r>
    <m/>
    <m/>
    <m/>
    <m/>
  </r>
  <r>
    <m/>
    <m/>
    <m/>
    <m/>
  </r>
  <r>
    <m/>
    <m/>
    <m/>
    <m/>
  </r>
  <r>
    <m/>
    <n v="1"/>
    <n v="1"/>
    <m/>
  </r>
  <r>
    <m/>
    <m/>
    <m/>
    <m/>
  </r>
  <r>
    <n v="1"/>
    <n v="1"/>
    <m/>
    <m/>
  </r>
  <r>
    <n v="1"/>
    <n v="1"/>
    <m/>
    <m/>
  </r>
  <r>
    <m/>
    <n v="1"/>
    <n v="1"/>
    <m/>
  </r>
  <r>
    <m/>
    <n v="1"/>
    <m/>
    <m/>
  </r>
  <r>
    <m/>
    <m/>
    <m/>
    <m/>
  </r>
  <r>
    <n v="1"/>
    <n v="1"/>
    <n v="1"/>
    <m/>
  </r>
  <r>
    <m/>
    <m/>
    <m/>
    <m/>
  </r>
  <r>
    <n v="1"/>
    <n v="1"/>
    <n v="1"/>
    <m/>
  </r>
  <r>
    <m/>
    <m/>
    <m/>
    <m/>
  </r>
  <r>
    <n v="1"/>
    <n v="1"/>
    <m/>
    <m/>
  </r>
  <r>
    <m/>
    <m/>
    <m/>
    <m/>
  </r>
  <r>
    <m/>
    <n v="1"/>
    <n v="1"/>
    <m/>
  </r>
  <r>
    <m/>
    <n v="1"/>
    <m/>
    <m/>
  </r>
  <r>
    <m/>
    <n v="1"/>
    <m/>
    <m/>
  </r>
  <r>
    <m/>
    <m/>
    <m/>
    <m/>
  </r>
  <r>
    <n v="1"/>
    <m/>
    <m/>
    <m/>
  </r>
  <r>
    <m/>
    <m/>
    <m/>
    <m/>
  </r>
  <r>
    <m/>
    <m/>
    <m/>
    <m/>
  </r>
  <r>
    <m/>
    <m/>
    <m/>
    <m/>
  </r>
  <r>
    <n v="1"/>
    <n v="1"/>
    <n v="1"/>
    <m/>
  </r>
  <r>
    <n v="1"/>
    <m/>
    <m/>
    <m/>
  </r>
  <r>
    <n v="1"/>
    <n v="1"/>
    <m/>
    <m/>
  </r>
  <r>
    <m/>
    <n v="1"/>
    <n v="1"/>
    <m/>
  </r>
  <r>
    <m/>
    <m/>
    <m/>
    <m/>
  </r>
  <r>
    <n v="1"/>
    <n v="1"/>
    <m/>
    <m/>
  </r>
  <r>
    <n v="1"/>
    <n v="1"/>
    <m/>
    <m/>
  </r>
  <r>
    <m/>
    <n v="1"/>
    <n v="1"/>
    <m/>
  </r>
  <r>
    <m/>
    <m/>
    <m/>
    <m/>
  </r>
  <r>
    <m/>
    <n v="1"/>
    <m/>
    <m/>
  </r>
  <r>
    <m/>
    <n v="1"/>
    <m/>
    <m/>
  </r>
  <r>
    <m/>
    <m/>
    <m/>
    <m/>
  </r>
  <r>
    <m/>
    <n v="1"/>
    <m/>
    <m/>
  </r>
  <r>
    <m/>
    <m/>
    <m/>
    <m/>
  </r>
  <r>
    <m/>
    <m/>
    <m/>
    <m/>
  </r>
  <r>
    <n v="1"/>
    <n v="1"/>
    <m/>
    <m/>
  </r>
  <r>
    <n v="1"/>
    <n v="1"/>
    <n v="1"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n v="1"/>
    <n v="1"/>
    <m/>
    <m/>
  </r>
  <r>
    <m/>
    <n v="1"/>
    <m/>
    <m/>
  </r>
  <r>
    <m/>
    <n v="1"/>
    <m/>
    <m/>
  </r>
  <r>
    <n v="1"/>
    <n v="1"/>
    <m/>
    <m/>
  </r>
  <r>
    <n v="1"/>
    <n v="1"/>
    <m/>
    <m/>
  </r>
  <r>
    <m/>
    <m/>
    <m/>
    <m/>
  </r>
  <r>
    <m/>
    <n v="1"/>
    <m/>
    <m/>
  </r>
  <r>
    <n v="1"/>
    <n v="1"/>
    <m/>
    <m/>
  </r>
  <r>
    <n v="1"/>
    <n v="1"/>
    <m/>
    <m/>
  </r>
  <r>
    <m/>
    <n v="1"/>
    <n v="1"/>
    <m/>
  </r>
  <r>
    <n v="1"/>
    <n v="1"/>
    <m/>
    <m/>
  </r>
  <r>
    <n v="1"/>
    <n v="1"/>
    <m/>
    <m/>
  </r>
  <r>
    <m/>
    <m/>
    <m/>
    <m/>
  </r>
  <r>
    <n v="1"/>
    <n v="1"/>
    <n v="1"/>
    <m/>
  </r>
  <r>
    <m/>
    <n v="1"/>
    <m/>
    <m/>
  </r>
  <r>
    <m/>
    <m/>
    <m/>
    <m/>
  </r>
  <r>
    <n v="1"/>
    <n v="1"/>
    <n v="1"/>
    <n v="1"/>
  </r>
  <r>
    <m/>
    <m/>
    <m/>
    <m/>
  </r>
  <r>
    <n v="1"/>
    <n v="1"/>
    <m/>
    <m/>
  </r>
  <r>
    <m/>
    <m/>
    <m/>
    <m/>
  </r>
  <r>
    <n v="1"/>
    <n v="1"/>
    <n v="1"/>
    <m/>
  </r>
  <r>
    <m/>
    <m/>
    <m/>
    <m/>
  </r>
  <r>
    <n v="1"/>
    <n v="1"/>
    <m/>
    <m/>
  </r>
  <r>
    <m/>
    <m/>
    <n v="1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1"/>
    <n v="1"/>
    <m/>
    <m/>
  </r>
  <r>
    <m/>
    <m/>
    <m/>
    <m/>
  </r>
  <r>
    <m/>
    <n v="1"/>
    <m/>
    <m/>
  </r>
  <r>
    <n v="1"/>
    <n v="1"/>
    <m/>
    <m/>
  </r>
  <r>
    <m/>
    <m/>
    <m/>
    <m/>
  </r>
  <r>
    <m/>
    <n v="1"/>
    <m/>
    <m/>
  </r>
  <r>
    <n v="1"/>
    <n v="1"/>
    <m/>
    <m/>
  </r>
  <r>
    <n v="1"/>
    <n v="1"/>
    <m/>
    <m/>
  </r>
  <r>
    <n v="1"/>
    <n v="1"/>
    <m/>
    <m/>
  </r>
  <r>
    <m/>
    <n v="1"/>
    <m/>
    <m/>
  </r>
  <r>
    <n v="1"/>
    <m/>
    <m/>
    <m/>
  </r>
  <r>
    <m/>
    <m/>
    <m/>
    <m/>
  </r>
  <r>
    <m/>
    <n v="1"/>
    <n v="1"/>
    <m/>
  </r>
  <r>
    <m/>
    <m/>
    <m/>
    <m/>
  </r>
  <r>
    <m/>
    <n v="1"/>
    <n v="1"/>
    <m/>
  </r>
  <r>
    <m/>
    <m/>
    <m/>
    <m/>
  </r>
  <r>
    <n v="1"/>
    <m/>
    <m/>
    <m/>
  </r>
  <r>
    <n v="1"/>
    <n v="1"/>
    <m/>
    <m/>
  </r>
  <r>
    <m/>
    <m/>
    <m/>
    <m/>
  </r>
  <r>
    <n v="1"/>
    <n v="1"/>
    <m/>
    <m/>
  </r>
  <r>
    <n v="1"/>
    <n v="1"/>
    <m/>
    <m/>
  </r>
  <r>
    <n v="1"/>
    <n v="1"/>
    <m/>
    <m/>
  </r>
  <r>
    <n v="1"/>
    <n v="1"/>
    <n v="1"/>
    <m/>
  </r>
  <r>
    <n v="1"/>
    <n v="1"/>
    <n v="1"/>
    <m/>
  </r>
  <r>
    <n v="1"/>
    <m/>
    <m/>
    <m/>
  </r>
  <r>
    <m/>
    <n v="1"/>
    <m/>
    <m/>
  </r>
  <r>
    <n v="1"/>
    <m/>
    <m/>
    <m/>
  </r>
  <r>
    <n v="1"/>
    <n v="1"/>
    <m/>
    <m/>
  </r>
  <r>
    <n v="1"/>
    <n v="1"/>
    <n v="1"/>
    <m/>
  </r>
  <r>
    <m/>
    <m/>
    <m/>
    <m/>
  </r>
  <r>
    <n v="1"/>
    <n v="1"/>
    <m/>
    <m/>
  </r>
  <r>
    <m/>
    <n v="1"/>
    <m/>
    <m/>
  </r>
  <r>
    <n v="1"/>
    <m/>
    <m/>
    <m/>
  </r>
  <r>
    <m/>
    <m/>
    <m/>
    <m/>
  </r>
  <r>
    <m/>
    <n v="1"/>
    <m/>
    <m/>
  </r>
  <r>
    <n v="1"/>
    <n v="1"/>
    <n v="1"/>
    <m/>
  </r>
  <r>
    <m/>
    <n v="1"/>
    <m/>
    <m/>
  </r>
  <r>
    <m/>
    <m/>
    <m/>
    <m/>
  </r>
  <r>
    <n v="1"/>
    <n v="1"/>
    <n v="1"/>
    <m/>
  </r>
  <r>
    <m/>
    <m/>
    <m/>
    <m/>
  </r>
  <r>
    <m/>
    <n v="1"/>
    <n v="1"/>
    <m/>
  </r>
  <r>
    <n v="1"/>
    <n v="1"/>
    <m/>
    <m/>
  </r>
  <r>
    <n v="1"/>
    <n v="1"/>
    <m/>
    <m/>
  </r>
  <r>
    <m/>
    <m/>
    <m/>
    <m/>
  </r>
  <r>
    <m/>
    <m/>
    <m/>
    <m/>
  </r>
  <r>
    <m/>
    <n v="1"/>
    <n v="1"/>
    <m/>
  </r>
  <r>
    <m/>
    <m/>
    <m/>
    <m/>
  </r>
  <r>
    <n v="1"/>
    <n v="1"/>
    <n v="1"/>
    <m/>
  </r>
  <r>
    <m/>
    <m/>
    <m/>
    <m/>
  </r>
  <r>
    <n v="1"/>
    <n v="1"/>
    <m/>
    <m/>
  </r>
  <r>
    <m/>
    <m/>
    <m/>
    <m/>
  </r>
  <r>
    <m/>
    <m/>
    <m/>
    <m/>
  </r>
  <r>
    <m/>
    <m/>
    <m/>
    <m/>
  </r>
  <r>
    <m/>
    <m/>
    <m/>
    <m/>
  </r>
  <r>
    <n v="1"/>
    <n v="1"/>
    <m/>
    <m/>
  </r>
  <r>
    <m/>
    <m/>
    <m/>
    <m/>
  </r>
  <r>
    <n v="1"/>
    <m/>
    <m/>
    <m/>
  </r>
  <r>
    <n v="1"/>
    <m/>
    <m/>
    <m/>
  </r>
  <r>
    <n v="1"/>
    <n v="1"/>
    <m/>
    <m/>
  </r>
  <r>
    <n v="1"/>
    <n v="1"/>
    <m/>
    <m/>
  </r>
  <r>
    <m/>
    <m/>
    <m/>
    <m/>
  </r>
  <r>
    <n v="1"/>
    <m/>
    <m/>
    <m/>
  </r>
  <r>
    <m/>
    <m/>
    <m/>
    <m/>
  </r>
  <r>
    <n v="1"/>
    <n v="1"/>
    <m/>
    <m/>
  </r>
  <r>
    <m/>
    <m/>
    <m/>
    <m/>
  </r>
  <r>
    <n v="1"/>
    <n v="1"/>
    <m/>
    <m/>
  </r>
  <r>
    <n v="1"/>
    <n v="1"/>
    <m/>
    <m/>
  </r>
  <r>
    <m/>
    <m/>
    <m/>
    <m/>
  </r>
  <r>
    <m/>
    <m/>
    <m/>
    <m/>
  </r>
  <r>
    <n v="1"/>
    <m/>
    <m/>
    <m/>
  </r>
  <r>
    <m/>
    <m/>
    <m/>
    <m/>
  </r>
  <r>
    <m/>
    <m/>
    <m/>
    <m/>
  </r>
  <r>
    <n v="1"/>
    <n v="1"/>
    <m/>
    <m/>
  </r>
  <r>
    <n v="1"/>
    <n v="1"/>
    <m/>
    <m/>
  </r>
  <r>
    <n v="1"/>
    <m/>
    <n v="1"/>
    <m/>
  </r>
  <r>
    <n v="1"/>
    <m/>
    <m/>
    <m/>
  </r>
  <r>
    <n v="1"/>
    <n v="1"/>
    <m/>
    <m/>
  </r>
  <r>
    <n v="1"/>
    <m/>
    <m/>
    <m/>
  </r>
  <r>
    <n v="1"/>
    <m/>
    <m/>
    <m/>
  </r>
  <r>
    <n v="1"/>
    <m/>
    <m/>
    <m/>
  </r>
  <r>
    <m/>
    <m/>
    <m/>
    <m/>
  </r>
  <r>
    <n v="1"/>
    <m/>
    <m/>
    <m/>
  </r>
  <r>
    <n v="1"/>
    <n v="1"/>
    <m/>
    <m/>
  </r>
  <r>
    <m/>
    <n v="1"/>
    <m/>
    <m/>
  </r>
  <r>
    <m/>
    <m/>
    <m/>
    <m/>
  </r>
  <r>
    <n v="1"/>
    <n v="1"/>
    <m/>
    <m/>
  </r>
  <r>
    <m/>
    <n v="1"/>
    <m/>
    <m/>
  </r>
  <r>
    <m/>
    <m/>
    <m/>
    <m/>
  </r>
  <r>
    <n v="1"/>
    <n v="1"/>
    <n v="1"/>
    <m/>
  </r>
  <r>
    <n v="1"/>
    <n v="1"/>
    <m/>
    <m/>
  </r>
  <r>
    <n v="1"/>
    <m/>
    <n v="1"/>
    <n v="1"/>
  </r>
  <r>
    <m/>
    <m/>
    <m/>
    <m/>
  </r>
  <r>
    <m/>
    <n v="1"/>
    <m/>
    <m/>
  </r>
  <r>
    <m/>
    <m/>
    <m/>
    <m/>
  </r>
  <r>
    <m/>
    <m/>
    <m/>
    <m/>
  </r>
  <r>
    <m/>
    <m/>
    <m/>
    <m/>
  </r>
  <r>
    <n v="1"/>
    <m/>
    <m/>
    <m/>
  </r>
  <r>
    <m/>
    <m/>
    <m/>
    <m/>
  </r>
  <r>
    <n v="1"/>
    <n v="1"/>
    <m/>
    <m/>
  </r>
  <r>
    <n v="1"/>
    <m/>
    <m/>
    <m/>
  </r>
  <r>
    <m/>
    <m/>
    <m/>
    <m/>
  </r>
  <r>
    <m/>
    <m/>
    <m/>
    <m/>
  </r>
  <r>
    <m/>
    <m/>
    <m/>
    <m/>
  </r>
  <r>
    <n v="1"/>
    <m/>
    <m/>
    <m/>
  </r>
  <r>
    <m/>
    <m/>
    <m/>
    <m/>
  </r>
  <r>
    <n v="1"/>
    <m/>
    <n v="1"/>
    <m/>
  </r>
  <r>
    <m/>
    <m/>
    <m/>
    <m/>
  </r>
  <r>
    <m/>
    <n v="1"/>
    <m/>
    <m/>
  </r>
  <r>
    <m/>
    <m/>
    <m/>
    <m/>
  </r>
  <r>
    <n v="1"/>
    <n v="1"/>
    <n v="1"/>
    <m/>
  </r>
  <r>
    <m/>
    <m/>
    <m/>
    <m/>
  </r>
  <r>
    <n v="1"/>
    <m/>
    <m/>
    <m/>
  </r>
  <r>
    <m/>
    <m/>
    <m/>
    <m/>
  </r>
  <r>
    <n v="1"/>
    <m/>
    <m/>
    <m/>
  </r>
  <r>
    <m/>
    <m/>
    <n v="1"/>
    <m/>
  </r>
  <r>
    <n v="1"/>
    <n v="1"/>
    <m/>
    <m/>
  </r>
  <r>
    <m/>
    <m/>
    <m/>
    <m/>
  </r>
  <r>
    <m/>
    <m/>
    <m/>
    <m/>
  </r>
  <r>
    <m/>
    <m/>
    <m/>
    <m/>
  </r>
  <r>
    <n v="1"/>
    <n v="1"/>
    <m/>
    <m/>
  </r>
  <r>
    <n v="1"/>
    <n v="1"/>
    <m/>
    <m/>
  </r>
  <r>
    <m/>
    <m/>
    <m/>
    <m/>
  </r>
  <r>
    <m/>
    <m/>
    <m/>
    <m/>
  </r>
  <r>
    <m/>
    <m/>
    <m/>
    <m/>
  </r>
  <r>
    <n v="1"/>
    <m/>
    <m/>
    <m/>
  </r>
  <r>
    <m/>
    <n v="1"/>
    <m/>
    <m/>
  </r>
  <r>
    <m/>
    <m/>
    <m/>
    <m/>
  </r>
  <r>
    <n v="1"/>
    <n v="1"/>
    <n v="1"/>
    <m/>
  </r>
  <r>
    <m/>
    <m/>
    <m/>
    <m/>
  </r>
  <r>
    <m/>
    <n v="1"/>
    <m/>
    <m/>
  </r>
  <r>
    <m/>
    <m/>
    <m/>
    <m/>
  </r>
  <r>
    <n v="1"/>
    <n v="1"/>
    <m/>
    <m/>
  </r>
  <r>
    <m/>
    <m/>
    <m/>
    <m/>
  </r>
  <r>
    <n v="1"/>
    <n v="1"/>
    <n v="1"/>
    <m/>
  </r>
  <r>
    <n v="1"/>
    <n v="1"/>
    <m/>
    <m/>
  </r>
  <r>
    <m/>
    <m/>
    <m/>
    <m/>
  </r>
  <r>
    <n v="1"/>
    <m/>
    <m/>
    <m/>
  </r>
  <r>
    <n v="1"/>
    <n v="1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9">
  <r>
    <x v="0"/>
    <n v="1"/>
  </r>
  <r>
    <x v="1"/>
    <n v="1"/>
  </r>
  <r>
    <x v="2"/>
    <n v="1"/>
  </r>
  <r>
    <x v="3"/>
    <n v="3"/>
  </r>
  <r>
    <x v="4"/>
    <n v="1"/>
  </r>
  <r>
    <x v="5"/>
    <n v="3"/>
  </r>
  <r>
    <x v="6"/>
    <n v="2"/>
  </r>
  <r>
    <x v="7"/>
    <n v="1"/>
  </r>
  <r>
    <x v="8"/>
    <n v="2"/>
  </r>
  <r>
    <x v="9"/>
    <n v="1"/>
  </r>
  <r>
    <x v="10"/>
    <n v="1"/>
  </r>
  <r>
    <x v="11"/>
    <n v="2"/>
  </r>
  <r>
    <x v="12"/>
    <n v="2"/>
  </r>
  <r>
    <x v="13"/>
    <n v="2"/>
  </r>
  <r>
    <x v="14"/>
    <n v="5"/>
  </r>
  <r>
    <x v="15"/>
    <n v="1"/>
  </r>
  <r>
    <x v="16"/>
    <n v="1"/>
  </r>
  <r>
    <x v="17"/>
    <n v="1"/>
  </r>
  <r>
    <x v="18"/>
    <n v="1"/>
  </r>
  <r>
    <x v="19"/>
    <n v="4"/>
  </r>
  <r>
    <x v="20"/>
    <n v="1"/>
  </r>
  <r>
    <x v="21"/>
    <n v="1"/>
  </r>
  <r>
    <x v="22"/>
    <n v="1"/>
  </r>
  <r>
    <x v="23"/>
    <n v="2"/>
  </r>
  <r>
    <x v="24"/>
    <n v="1"/>
  </r>
  <r>
    <x v="25"/>
    <n v="1"/>
  </r>
  <r>
    <x v="26"/>
    <n v="1"/>
  </r>
  <r>
    <x v="27"/>
    <n v="2"/>
  </r>
  <r>
    <x v="28"/>
    <n v="1"/>
  </r>
  <r>
    <x v="29"/>
    <n v="1"/>
  </r>
  <r>
    <x v="30"/>
    <n v="2"/>
  </r>
  <r>
    <x v="31"/>
    <n v="2"/>
  </r>
  <r>
    <x v="32"/>
    <n v="2"/>
  </r>
  <r>
    <x v="33"/>
    <n v="1"/>
  </r>
  <r>
    <x v="34"/>
    <n v="2"/>
  </r>
  <r>
    <x v="35"/>
    <n v="2"/>
  </r>
  <r>
    <x v="36"/>
    <n v="1"/>
  </r>
  <r>
    <x v="37"/>
    <n v="2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4"/>
  </r>
  <r>
    <x v="51"/>
    <n v="1"/>
  </r>
  <r>
    <x v="52"/>
    <n v="1"/>
  </r>
  <r>
    <x v="53"/>
    <n v="3"/>
  </r>
  <r>
    <x v="54"/>
    <n v="1"/>
  </r>
  <r>
    <x v="55"/>
    <n v="1"/>
  </r>
  <r>
    <x v="56"/>
    <n v="1"/>
  </r>
  <r>
    <x v="57"/>
    <n v="2"/>
  </r>
  <r>
    <x v="58"/>
    <n v="4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2"/>
  </r>
  <r>
    <x v="66"/>
    <n v="1"/>
  </r>
  <r>
    <x v="67"/>
    <n v="1"/>
  </r>
  <r>
    <x v="68"/>
    <n v="2"/>
  </r>
  <r>
    <x v="69"/>
    <n v="2"/>
  </r>
  <r>
    <x v="70"/>
    <n v="2"/>
  </r>
  <r>
    <x v="71"/>
    <n v="1"/>
  </r>
  <r>
    <x v="72"/>
    <n v="1"/>
  </r>
  <r>
    <x v="73"/>
    <n v="1"/>
  </r>
  <r>
    <x v="74"/>
    <n v="1"/>
  </r>
  <r>
    <x v="75"/>
    <n v="1"/>
  </r>
  <r>
    <x v="76"/>
    <n v="3"/>
  </r>
  <r>
    <x v="77"/>
    <n v="1"/>
  </r>
  <r>
    <x v="78"/>
    <n v="1"/>
  </r>
  <r>
    <x v="79"/>
    <n v="1"/>
  </r>
  <r>
    <x v="80"/>
    <n v="2"/>
  </r>
  <r>
    <x v="81"/>
    <n v="1"/>
  </r>
  <r>
    <x v="82"/>
    <n v="2"/>
  </r>
  <r>
    <x v="83"/>
    <n v="1"/>
  </r>
  <r>
    <x v="84"/>
    <n v="1"/>
  </r>
  <r>
    <x v="85"/>
    <n v="1"/>
  </r>
  <r>
    <x v="86"/>
    <n v="2"/>
  </r>
  <r>
    <x v="87"/>
    <n v="1"/>
  </r>
  <r>
    <x v="88"/>
    <n v="1"/>
  </r>
  <r>
    <x v="89"/>
    <n v="1"/>
  </r>
  <r>
    <x v="90"/>
    <n v="1"/>
  </r>
  <r>
    <x v="91"/>
    <n v="2"/>
  </r>
  <r>
    <x v="92"/>
    <n v="2"/>
  </r>
  <r>
    <x v="93"/>
    <n v="1"/>
  </r>
  <r>
    <x v="94"/>
    <n v="1"/>
  </r>
  <r>
    <x v="95"/>
    <n v="1"/>
  </r>
  <r>
    <x v="96"/>
    <n v="1"/>
  </r>
  <r>
    <x v="97"/>
    <n v="2"/>
  </r>
  <r>
    <x v="98"/>
    <n v="1"/>
  </r>
  <r>
    <x v="99"/>
    <n v="1"/>
  </r>
  <r>
    <x v="100"/>
    <n v="1"/>
  </r>
  <r>
    <x v="101"/>
    <n v="7"/>
  </r>
  <r>
    <x v="102"/>
    <n v="2"/>
  </r>
  <r>
    <x v="103"/>
    <n v="1"/>
  </r>
  <r>
    <x v="104"/>
    <n v="1"/>
  </r>
  <r>
    <x v="105"/>
    <n v="1"/>
  </r>
  <r>
    <x v="106"/>
    <n v="1"/>
  </r>
  <r>
    <x v="107"/>
    <n v="1"/>
  </r>
  <r>
    <x v="108"/>
    <n v="3"/>
  </r>
  <r>
    <x v="109"/>
    <n v="1"/>
  </r>
  <r>
    <x v="110"/>
    <n v="2"/>
  </r>
  <r>
    <x v="110"/>
    <n v="2"/>
  </r>
  <r>
    <x v="111"/>
    <n v="2"/>
  </r>
  <r>
    <x v="112"/>
    <n v="1"/>
  </r>
  <r>
    <x v="113"/>
    <n v="2"/>
  </r>
  <r>
    <x v="113"/>
    <n v="2"/>
  </r>
  <r>
    <x v="114"/>
    <n v="1"/>
  </r>
  <r>
    <x v="115"/>
    <n v="1"/>
  </r>
  <r>
    <x v="116"/>
    <n v="1"/>
  </r>
  <r>
    <x v="117"/>
    <n v="1"/>
  </r>
  <r>
    <x v="118"/>
    <n v="1"/>
  </r>
  <r>
    <x v="119"/>
    <n v="1"/>
  </r>
  <r>
    <x v="120"/>
    <n v="1"/>
  </r>
  <r>
    <x v="121"/>
    <n v="1"/>
  </r>
  <r>
    <x v="122"/>
    <n v="1"/>
  </r>
  <r>
    <x v="123"/>
    <n v="1"/>
  </r>
  <r>
    <x v="124"/>
    <n v="5"/>
  </r>
  <r>
    <x v="125"/>
    <n v="1"/>
  </r>
  <r>
    <x v="126"/>
    <n v="1"/>
  </r>
  <r>
    <x v="127"/>
    <n v="2"/>
  </r>
  <r>
    <x v="128"/>
    <n v="1"/>
  </r>
  <r>
    <x v="129"/>
    <n v="1"/>
  </r>
  <r>
    <x v="130"/>
    <n v="1"/>
  </r>
  <r>
    <x v="131"/>
    <n v="1"/>
  </r>
  <r>
    <x v="132"/>
    <n v="2"/>
  </r>
  <r>
    <x v="133"/>
    <n v="1"/>
  </r>
  <r>
    <x v="134"/>
    <n v="1"/>
  </r>
  <r>
    <x v="135"/>
    <n v="2"/>
  </r>
  <r>
    <x v="136"/>
    <n v="2"/>
  </r>
  <r>
    <x v="137"/>
    <n v="1"/>
  </r>
  <r>
    <x v="138"/>
    <n v="1"/>
  </r>
  <r>
    <x v="139"/>
    <n v="1"/>
  </r>
  <r>
    <x v="140"/>
    <n v="1"/>
  </r>
  <r>
    <x v="141"/>
    <n v="1"/>
  </r>
  <r>
    <x v="142"/>
    <n v="2"/>
  </r>
  <r>
    <x v="143"/>
    <n v="1"/>
  </r>
  <r>
    <x v="12"/>
    <n v="2"/>
  </r>
  <r>
    <x v="144"/>
    <n v="1"/>
  </r>
  <r>
    <x v="145"/>
    <n v="3"/>
  </r>
  <r>
    <x v="146"/>
    <n v="1"/>
  </r>
  <r>
    <x v="19"/>
    <n v="4"/>
  </r>
  <r>
    <x v="147"/>
    <n v="1"/>
  </r>
  <r>
    <x v="148"/>
    <n v="1"/>
  </r>
  <r>
    <x v="149"/>
    <n v="2"/>
  </r>
  <r>
    <x v="150"/>
    <n v="1"/>
  </r>
  <r>
    <x v="151"/>
    <n v="2"/>
  </r>
  <r>
    <x v="152"/>
    <n v="2"/>
  </r>
  <r>
    <x v="153"/>
    <n v="1"/>
  </r>
  <r>
    <x v="154"/>
    <n v="2"/>
  </r>
  <r>
    <x v="155"/>
    <n v="1"/>
  </r>
  <r>
    <x v="156"/>
    <n v="1"/>
  </r>
  <r>
    <x v="157"/>
    <n v="2"/>
  </r>
  <r>
    <x v="158"/>
    <n v="1"/>
  </r>
  <r>
    <x v="159"/>
    <n v="1"/>
  </r>
  <r>
    <x v="160"/>
    <n v="2"/>
  </r>
  <r>
    <x v="161"/>
    <n v="2"/>
  </r>
  <r>
    <x v="27"/>
    <n v="2"/>
  </r>
  <r>
    <x v="162"/>
    <n v="1"/>
  </r>
  <r>
    <x v="163"/>
    <n v="1"/>
  </r>
  <r>
    <x v="164"/>
    <n v="2"/>
  </r>
  <r>
    <x v="165"/>
    <n v="2"/>
  </r>
  <r>
    <x v="32"/>
    <n v="2"/>
  </r>
  <r>
    <x v="34"/>
    <n v="2"/>
  </r>
  <r>
    <x v="166"/>
    <n v="1"/>
  </r>
  <r>
    <x v="167"/>
    <n v="1"/>
  </r>
  <r>
    <x v="168"/>
    <n v="1"/>
  </r>
  <r>
    <x v="169"/>
    <n v="1"/>
  </r>
  <r>
    <x v="170"/>
    <n v="2"/>
  </r>
  <r>
    <x v="171"/>
    <n v="1"/>
  </r>
  <r>
    <x v="172"/>
    <n v="1"/>
  </r>
  <r>
    <x v="173"/>
    <n v="1"/>
  </r>
  <r>
    <x v="174"/>
    <n v="1"/>
  </r>
  <r>
    <x v="175"/>
    <n v="1"/>
  </r>
  <r>
    <x v="176"/>
    <n v="1"/>
  </r>
  <r>
    <x v="177"/>
    <n v="2"/>
  </r>
  <r>
    <x v="178"/>
    <n v="1"/>
  </r>
  <r>
    <x v="179"/>
    <n v="1"/>
  </r>
  <r>
    <x v="180"/>
    <n v="1"/>
  </r>
  <r>
    <x v="181"/>
    <n v="2"/>
  </r>
  <r>
    <x v="182"/>
    <n v="1"/>
  </r>
  <r>
    <x v="183"/>
    <n v="1"/>
  </r>
  <r>
    <x v="184"/>
    <n v="1"/>
  </r>
  <r>
    <x v="185"/>
    <n v="1"/>
  </r>
  <r>
    <x v="186"/>
    <n v="1"/>
  </r>
  <r>
    <x v="187"/>
    <n v="1"/>
  </r>
  <r>
    <x v="188"/>
    <n v="1"/>
  </r>
  <r>
    <x v="189"/>
    <n v="1"/>
  </r>
  <r>
    <x v="190"/>
    <n v="3"/>
  </r>
  <r>
    <x v="191"/>
    <n v="2"/>
  </r>
  <r>
    <x v="192"/>
    <n v="1"/>
  </r>
  <r>
    <x v="193"/>
    <n v="1"/>
  </r>
  <r>
    <x v="194"/>
    <n v="1"/>
  </r>
  <r>
    <x v="195"/>
    <n v="3"/>
  </r>
  <r>
    <x v="196"/>
    <n v="1"/>
  </r>
  <r>
    <x v="197"/>
    <n v="1"/>
  </r>
  <r>
    <x v="198"/>
    <n v="2"/>
  </r>
  <r>
    <x v="199"/>
    <n v="1"/>
  </r>
  <r>
    <x v="200"/>
    <n v="2"/>
  </r>
  <r>
    <x v="201"/>
    <n v="1"/>
  </r>
  <r>
    <x v="202"/>
    <n v="1"/>
  </r>
  <r>
    <x v="203"/>
    <n v="1"/>
  </r>
  <r>
    <x v="204"/>
    <n v="2"/>
  </r>
  <r>
    <x v="205"/>
    <n v="1"/>
  </r>
  <r>
    <x v="206"/>
    <n v="1"/>
  </r>
  <r>
    <x v="207"/>
    <n v="2"/>
  </r>
  <r>
    <x v="69"/>
    <n v="2"/>
  </r>
  <r>
    <x v="208"/>
    <n v="1"/>
  </r>
  <r>
    <x v="209"/>
    <n v="1"/>
  </r>
  <r>
    <x v="210"/>
    <n v="1"/>
  </r>
  <r>
    <x v="211"/>
    <n v="1"/>
  </r>
  <r>
    <x v="212"/>
    <n v="1"/>
  </r>
  <r>
    <x v="213"/>
    <n v="1"/>
  </r>
  <r>
    <x v="214"/>
    <n v="2"/>
  </r>
  <r>
    <x v="80"/>
    <n v="2"/>
  </r>
  <r>
    <x v="215"/>
    <n v="1"/>
  </r>
  <r>
    <x v="216"/>
    <n v="1"/>
  </r>
  <r>
    <x v="217"/>
    <n v="1"/>
  </r>
  <r>
    <x v="218"/>
    <n v="1"/>
  </r>
  <r>
    <x v="219"/>
    <n v="1"/>
  </r>
  <r>
    <x v="220"/>
    <n v="1"/>
  </r>
  <r>
    <x v="221"/>
    <n v="2"/>
  </r>
  <r>
    <x v="222"/>
    <n v="2"/>
  </r>
  <r>
    <x v="223"/>
    <n v="1"/>
  </r>
  <r>
    <x v="224"/>
    <n v="1"/>
  </r>
  <r>
    <x v="225"/>
    <n v="1"/>
  </r>
  <r>
    <x v="226"/>
    <n v="1"/>
  </r>
  <r>
    <x v="227"/>
    <n v="1"/>
  </r>
  <r>
    <x v="228"/>
    <n v="2"/>
  </r>
  <r>
    <x v="229"/>
    <n v="3"/>
  </r>
  <r>
    <x v="230"/>
    <n v="1"/>
  </r>
  <r>
    <x v="231"/>
    <n v="3"/>
  </r>
  <r>
    <x v="97"/>
    <n v="2"/>
  </r>
  <r>
    <x v="232"/>
    <n v="1"/>
  </r>
  <r>
    <x v="233"/>
    <n v="1"/>
  </r>
  <r>
    <x v="234"/>
    <n v="1"/>
  </r>
  <r>
    <x v="235"/>
    <n v="1"/>
  </r>
  <r>
    <x v="101"/>
    <n v="7"/>
  </r>
  <r>
    <x v="236"/>
    <n v="1"/>
  </r>
  <r>
    <x v="237"/>
    <n v="1"/>
  </r>
  <r>
    <x v="108"/>
    <n v="3"/>
  </r>
  <r>
    <x v="238"/>
    <n v="1"/>
  </r>
  <r>
    <x v="239"/>
    <n v="1"/>
  </r>
  <r>
    <x v="240"/>
    <n v="1"/>
  </r>
  <r>
    <x v="241"/>
    <n v="2"/>
  </r>
  <r>
    <x v="242"/>
    <n v="1"/>
  </r>
  <r>
    <x v="243"/>
    <n v="1"/>
  </r>
  <r>
    <x v="244"/>
    <n v="1"/>
  </r>
  <r>
    <x v="245"/>
    <n v="1"/>
  </r>
  <r>
    <x v="246"/>
    <n v="1"/>
  </r>
  <r>
    <x v="247"/>
    <n v="1"/>
  </r>
  <r>
    <x v="248"/>
    <n v="2"/>
  </r>
  <r>
    <x v="249"/>
    <n v="1"/>
  </r>
  <r>
    <x v="250"/>
    <n v="1"/>
  </r>
  <r>
    <x v="251"/>
    <n v="1"/>
  </r>
  <r>
    <x v="252"/>
    <n v="1"/>
  </r>
  <r>
    <x v="253"/>
    <n v="1"/>
  </r>
  <r>
    <x v="254"/>
    <n v="1"/>
  </r>
  <r>
    <x v="255"/>
    <n v="2"/>
  </r>
  <r>
    <x v="256"/>
    <n v="1"/>
  </r>
  <r>
    <x v="257"/>
    <n v="1"/>
  </r>
  <r>
    <x v="124"/>
    <n v="5"/>
  </r>
  <r>
    <x v="5"/>
    <n v="3"/>
  </r>
  <r>
    <x v="258"/>
    <n v="1"/>
  </r>
  <r>
    <x v="132"/>
    <n v="2"/>
  </r>
  <r>
    <x v="259"/>
    <n v="1"/>
  </r>
  <r>
    <x v="260"/>
    <n v="1"/>
  </r>
  <r>
    <x v="261"/>
    <n v="1"/>
  </r>
  <r>
    <x v="262"/>
    <n v="1"/>
  </r>
  <r>
    <x v="263"/>
    <n v="1"/>
  </r>
  <r>
    <x v="264"/>
    <n v="1"/>
  </r>
  <r>
    <x v="265"/>
    <n v="1"/>
  </r>
  <r>
    <x v="266"/>
    <n v="1"/>
  </r>
  <r>
    <x v="8"/>
    <n v="2"/>
  </r>
  <r>
    <x v="267"/>
    <n v="1"/>
  </r>
  <r>
    <x v="268"/>
    <n v="2"/>
  </r>
  <r>
    <x v="269"/>
    <n v="1"/>
  </r>
  <r>
    <x v="270"/>
    <n v="2"/>
  </r>
  <r>
    <x v="271"/>
    <n v="2"/>
  </r>
  <r>
    <x v="272"/>
    <n v="1"/>
  </r>
  <r>
    <x v="142"/>
    <n v="2"/>
  </r>
  <r>
    <x v="273"/>
    <n v="1"/>
  </r>
  <r>
    <x v="14"/>
    <n v="5"/>
  </r>
  <r>
    <x v="274"/>
    <n v="1"/>
  </r>
  <r>
    <x v="275"/>
    <n v="1"/>
  </r>
  <r>
    <x v="19"/>
    <n v="4"/>
  </r>
  <r>
    <x v="276"/>
    <n v="1"/>
  </r>
  <r>
    <x v="277"/>
    <n v="2"/>
  </r>
  <r>
    <x v="278"/>
    <n v="1"/>
  </r>
  <r>
    <x v="279"/>
    <n v="1"/>
  </r>
  <r>
    <x v="280"/>
    <n v="2"/>
  </r>
  <r>
    <x v="281"/>
    <n v="2"/>
  </r>
  <r>
    <x v="282"/>
    <n v="2"/>
  </r>
  <r>
    <x v="283"/>
    <n v="1"/>
  </r>
  <r>
    <x v="152"/>
    <n v="2"/>
  </r>
  <r>
    <x v="23"/>
    <n v="2"/>
  </r>
  <r>
    <x v="284"/>
    <n v="2"/>
  </r>
  <r>
    <x v="285"/>
    <n v="1"/>
  </r>
  <r>
    <x v="286"/>
    <n v="1"/>
  </r>
  <r>
    <x v="287"/>
    <n v="1"/>
  </r>
  <r>
    <x v="288"/>
    <n v="1"/>
  </r>
  <r>
    <x v="289"/>
    <n v="1"/>
  </r>
  <r>
    <x v="290"/>
    <n v="1"/>
  </r>
  <r>
    <x v="291"/>
    <n v="1"/>
  </r>
  <r>
    <x v="292"/>
    <n v="1"/>
  </r>
  <r>
    <x v="293"/>
    <n v="1"/>
  </r>
  <r>
    <x v="294"/>
    <n v="1"/>
  </r>
  <r>
    <x v="295"/>
    <n v="1"/>
  </r>
  <r>
    <x v="296"/>
    <n v="1"/>
  </r>
  <r>
    <x v="297"/>
    <n v="1"/>
  </r>
  <r>
    <x v="164"/>
    <n v="2"/>
  </r>
  <r>
    <x v="298"/>
    <n v="1"/>
  </r>
  <r>
    <x v="299"/>
    <n v="1"/>
  </r>
  <r>
    <x v="300"/>
    <n v="2"/>
  </r>
  <r>
    <x v="301"/>
    <n v="1"/>
  </r>
  <r>
    <x v="302"/>
    <n v="1"/>
  </r>
  <r>
    <x v="303"/>
    <n v="1"/>
  </r>
  <r>
    <x v="304"/>
    <n v="1"/>
  </r>
  <r>
    <x v="305"/>
    <n v="2"/>
  </r>
  <r>
    <x v="306"/>
    <n v="1"/>
  </r>
  <r>
    <x v="307"/>
    <n v="1"/>
  </r>
  <r>
    <x v="308"/>
    <n v="1"/>
  </r>
  <r>
    <x v="309"/>
    <n v="2"/>
  </r>
  <r>
    <x v="309"/>
    <n v="2"/>
  </r>
  <r>
    <x v="310"/>
    <n v="2"/>
  </r>
  <r>
    <x v="311"/>
    <n v="1"/>
  </r>
  <r>
    <x v="312"/>
    <n v="2"/>
  </r>
  <r>
    <x v="313"/>
    <n v="1"/>
  </r>
  <r>
    <x v="314"/>
    <n v="1"/>
  </r>
  <r>
    <x v="181"/>
    <n v="2"/>
  </r>
  <r>
    <x v="315"/>
    <n v="1"/>
  </r>
  <r>
    <x v="316"/>
    <n v="1"/>
  </r>
  <r>
    <x v="317"/>
    <n v="1"/>
  </r>
  <r>
    <x v="50"/>
    <n v="4"/>
  </r>
  <r>
    <x v="318"/>
    <n v="1"/>
  </r>
  <r>
    <x v="319"/>
    <n v="1"/>
  </r>
  <r>
    <x v="320"/>
    <n v="1"/>
  </r>
  <r>
    <x v="53"/>
    <n v="3"/>
  </r>
  <r>
    <x v="321"/>
    <n v="1"/>
  </r>
  <r>
    <x v="322"/>
    <n v="2"/>
  </r>
  <r>
    <x v="323"/>
    <n v="1"/>
  </r>
  <r>
    <x v="324"/>
    <n v="1"/>
  </r>
  <r>
    <x v="325"/>
    <n v="1"/>
  </r>
  <r>
    <x v="326"/>
    <n v="1"/>
  </r>
  <r>
    <x v="327"/>
    <n v="2"/>
  </r>
  <r>
    <x v="328"/>
    <n v="1"/>
  </r>
  <r>
    <x v="195"/>
    <n v="3"/>
  </r>
  <r>
    <x v="57"/>
    <n v="2"/>
  </r>
  <r>
    <x v="329"/>
    <n v="1"/>
  </r>
  <r>
    <x v="330"/>
    <n v="1"/>
  </r>
  <r>
    <x v="200"/>
    <n v="2"/>
  </r>
  <r>
    <x v="331"/>
    <n v="1"/>
  </r>
  <r>
    <x v="332"/>
    <n v="1"/>
  </r>
  <r>
    <x v="333"/>
    <n v="1"/>
  </r>
  <r>
    <x v="334"/>
    <n v="1"/>
  </r>
  <r>
    <x v="204"/>
    <n v="2"/>
  </r>
  <r>
    <x v="335"/>
    <n v="1"/>
  </r>
  <r>
    <x v="336"/>
    <n v="2"/>
  </r>
  <r>
    <x v="336"/>
    <n v="2"/>
  </r>
  <r>
    <x v="337"/>
    <n v="3"/>
  </r>
  <r>
    <x v="338"/>
    <n v="1"/>
  </r>
  <r>
    <x v="339"/>
    <n v="1"/>
  </r>
  <r>
    <x v="340"/>
    <n v="1"/>
  </r>
  <r>
    <x v="341"/>
    <n v="1"/>
  </r>
  <r>
    <x v="342"/>
    <n v="1"/>
  </r>
  <r>
    <x v="343"/>
    <n v="2"/>
  </r>
  <r>
    <x v="344"/>
    <n v="3"/>
  </r>
  <r>
    <x v="345"/>
    <n v="2"/>
  </r>
  <r>
    <x v="346"/>
    <n v="1"/>
  </r>
  <r>
    <x v="347"/>
    <n v="1"/>
  </r>
  <r>
    <x v="348"/>
    <n v="2"/>
  </r>
  <r>
    <x v="349"/>
    <n v="3"/>
  </r>
  <r>
    <x v="349"/>
    <n v="3"/>
  </r>
  <r>
    <x v="350"/>
    <n v="1"/>
  </r>
  <r>
    <x v="351"/>
    <n v="1"/>
  </r>
  <r>
    <x v="214"/>
    <n v="2"/>
  </r>
  <r>
    <x v="352"/>
    <n v="1"/>
  </r>
  <r>
    <x v="353"/>
    <n v="1"/>
  </r>
  <r>
    <x v="354"/>
    <n v="1"/>
  </r>
  <r>
    <x v="355"/>
    <n v="1"/>
  </r>
  <r>
    <x v="356"/>
    <n v="1"/>
  </r>
  <r>
    <x v="357"/>
    <n v="1"/>
  </r>
  <r>
    <x v="358"/>
    <n v="1"/>
  </r>
  <r>
    <x v="359"/>
    <n v="1"/>
  </r>
  <r>
    <x v="360"/>
    <n v="2"/>
  </r>
  <r>
    <x v="361"/>
    <n v="1"/>
  </r>
  <r>
    <x v="362"/>
    <n v="1"/>
  </r>
  <r>
    <x v="363"/>
    <n v="1"/>
  </r>
  <r>
    <x v="364"/>
    <n v="1"/>
  </r>
  <r>
    <x v="365"/>
    <n v="1"/>
  </r>
  <r>
    <x v="366"/>
    <n v="1"/>
  </r>
  <r>
    <x v="367"/>
    <n v="1"/>
  </r>
  <r>
    <x v="228"/>
    <n v="2"/>
  </r>
  <r>
    <x v="229"/>
    <n v="3"/>
  </r>
  <r>
    <x v="368"/>
    <n v="1"/>
  </r>
  <r>
    <x v="369"/>
    <n v="2"/>
  </r>
  <r>
    <x v="370"/>
    <n v="2"/>
  </r>
  <r>
    <x v="371"/>
    <n v="1"/>
  </r>
  <r>
    <x v="372"/>
    <n v="1"/>
  </r>
  <r>
    <x v="101"/>
    <n v="7"/>
  </r>
  <r>
    <x v="108"/>
    <n v="3"/>
  </r>
  <r>
    <x v="373"/>
    <n v="1"/>
  </r>
  <r>
    <x v="374"/>
    <n v="1"/>
  </r>
  <r>
    <x v="375"/>
    <n v="3"/>
  </r>
  <r>
    <x v="376"/>
    <n v="2"/>
  </r>
  <r>
    <x v="111"/>
    <n v="2"/>
  </r>
  <r>
    <x v="241"/>
    <n v="2"/>
  </r>
  <r>
    <x v="377"/>
    <n v="1"/>
  </r>
  <r>
    <x v="378"/>
    <n v="1"/>
  </r>
  <r>
    <x v="379"/>
    <n v="1"/>
  </r>
  <r>
    <x v="380"/>
    <n v="1"/>
  </r>
  <r>
    <x v="381"/>
    <n v="1"/>
  </r>
  <r>
    <x v="382"/>
    <n v="1"/>
  </r>
  <r>
    <x v="383"/>
    <n v="1"/>
  </r>
  <r>
    <x v="384"/>
    <n v="1"/>
  </r>
  <r>
    <x v="385"/>
    <n v="1"/>
  </r>
  <r>
    <x v="386"/>
    <n v="1"/>
  </r>
  <r>
    <x v="387"/>
    <n v="1"/>
  </r>
  <r>
    <x v="388"/>
    <n v="1"/>
  </r>
  <r>
    <x v="389"/>
    <n v="1"/>
  </r>
  <r>
    <x v="255"/>
    <n v="2"/>
  </r>
  <r>
    <x v="390"/>
    <n v="1"/>
  </r>
  <r>
    <x v="391"/>
    <n v="1"/>
  </r>
  <r>
    <x v="124"/>
    <n v="5"/>
  </r>
  <r>
    <x v="392"/>
    <n v="1"/>
  </r>
  <r>
    <x v="393"/>
    <n v="1"/>
  </r>
  <r>
    <x v="394"/>
    <n v="1"/>
  </r>
  <r>
    <x v="127"/>
    <n v="2"/>
  </r>
  <r>
    <x v="3"/>
    <n v="3"/>
  </r>
  <r>
    <x v="395"/>
    <n v="3"/>
  </r>
  <r>
    <x v="396"/>
    <n v="1"/>
  </r>
  <r>
    <x v="5"/>
    <n v="3"/>
  </r>
  <r>
    <x v="397"/>
    <n v="1"/>
  </r>
  <r>
    <x v="398"/>
    <n v="1"/>
  </r>
  <r>
    <x v="399"/>
    <n v="1"/>
  </r>
  <r>
    <x v="400"/>
    <n v="1"/>
  </r>
  <r>
    <x v="401"/>
    <n v="1"/>
  </r>
  <r>
    <x v="402"/>
    <n v="1"/>
  </r>
  <r>
    <x v="403"/>
    <n v="1"/>
  </r>
  <r>
    <x v="404"/>
    <n v="1"/>
  </r>
  <r>
    <x v="405"/>
    <n v="1"/>
  </r>
  <r>
    <x v="11"/>
    <n v="2"/>
  </r>
  <r>
    <x v="406"/>
    <n v="1"/>
  </r>
  <r>
    <x v="407"/>
    <n v="1"/>
  </r>
  <r>
    <x v="408"/>
    <n v="2"/>
  </r>
  <r>
    <x v="277"/>
    <n v="2"/>
  </r>
  <r>
    <x v="409"/>
    <n v="2"/>
  </r>
  <r>
    <x v="409"/>
    <n v="2"/>
  </r>
  <r>
    <x v="410"/>
    <n v="1"/>
  </r>
  <r>
    <x v="411"/>
    <n v="2"/>
  </r>
  <r>
    <x v="154"/>
    <n v="2"/>
  </r>
  <r>
    <x v="412"/>
    <n v="2"/>
  </r>
  <r>
    <x v="413"/>
    <n v="1"/>
  </r>
  <r>
    <x v="414"/>
    <n v="1"/>
  </r>
  <r>
    <x v="157"/>
    <n v="2"/>
  </r>
  <r>
    <x v="415"/>
    <n v="1"/>
  </r>
  <r>
    <x v="416"/>
    <n v="1"/>
  </r>
  <r>
    <x v="417"/>
    <n v="1"/>
  </r>
  <r>
    <x v="418"/>
    <n v="1"/>
  </r>
  <r>
    <x v="30"/>
    <n v="2"/>
  </r>
  <r>
    <x v="31"/>
    <n v="2"/>
  </r>
  <r>
    <x v="419"/>
    <n v="1"/>
  </r>
  <r>
    <x v="420"/>
    <n v="1"/>
  </r>
  <r>
    <x v="37"/>
    <n v="2"/>
  </r>
  <r>
    <x v="421"/>
    <n v="1"/>
  </r>
  <r>
    <x v="422"/>
    <n v="1"/>
  </r>
  <r>
    <x v="423"/>
    <n v="3"/>
  </r>
  <r>
    <x v="424"/>
    <n v="1"/>
  </r>
  <r>
    <x v="425"/>
    <n v="1"/>
  </r>
  <r>
    <x v="177"/>
    <n v="2"/>
  </r>
  <r>
    <x v="426"/>
    <n v="1"/>
  </r>
  <r>
    <x v="427"/>
    <n v="1"/>
  </r>
  <r>
    <x v="428"/>
    <n v="2"/>
  </r>
  <r>
    <x v="429"/>
    <n v="1"/>
  </r>
  <r>
    <x v="430"/>
    <n v="1"/>
  </r>
  <r>
    <x v="431"/>
    <n v="1"/>
  </r>
  <r>
    <x v="432"/>
    <n v="1"/>
  </r>
  <r>
    <x v="433"/>
    <n v="1"/>
  </r>
  <r>
    <x v="434"/>
    <n v="1"/>
  </r>
  <r>
    <x v="435"/>
    <n v="1"/>
  </r>
  <r>
    <x v="436"/>
    <n v="1"/>
  </r>
  <r>
    <x v="190"/>
    <n v="3"/>
  </r>
  <r>
    <x v="437"/>
    <n v="2"/>
  </r>
  <r>
    <x v="327"/>
    <n v="2"/>
  </r>
  <r>
    <x v="438"/>
    <n v="1"/>
  </r>
  <r>
    <x v="439"/>
    <n v="1"/>
  </r>
  <r>
    <x v="440"/>
    <n v="1"/>
  </r>
  <r>
    <x v="58"/>
    <n v="4"/>
  </r>
  <r>
    <x v="441"/>
    <n v="1"/>
  </r>
  <r>
    <x v="442"/>
    <n v="2"/>
  </r>
  <r>
    <x v="443"/>
    <n v="1"/>
  </r>
  <r>
    <x v="444"/>
    <n v="1"/>
  </r>
  <r>
    <x v="445"/>
    <n v="1"/>
  </r>
  <r>
    <x v="337"/>
    <n v="3"/>
  </r>
  <r>
    <x v="446"/>
    <n v="1"/>
  </r>
  <r>
    <x v="68"/>
    <n v="2"/>
  </r>
  <r>
    <x v="207"/>
    <n v="2"/>
  </r>
  <r>
    <x v="447"/>
    <n v="1"/>
  </r>
  <r>
    <x v="448"/>
    <n v="2"/>
  </r>
  <r>
    <x v="70"/>
    <n v="2"/>
  </r>
  <r>
    <x v="449"/>
    <n v="1"/>
  </r>
  <r>
    <x v="450"/>
    <n v="1"/>
  </r>
  <r>
    <x v="451"/>
    <n v="1"/>
  </r>
  <r>
    <x v="452"/>
    <n v="1"/>
  </r>
  <r>
    <x v="453"/>
    <n v="1"/>
  </r>
  <r>
    <x v="349"/>
    <n v="3"/>
  </r>
  <r>
    <x v="454"/>
    <n v="2"/>
  </r>
  <r>
    <x v="455"/>
    <n v="2"/>
  </r>
  <r>
    <x v="456"/>
    <n v="2"/>
  </r>
  <r>
    <x v="457"/>
    <n v="1"/>
  </r>
  <r>
    <x v="458"/>
    <n v="1"/>
  </r>
  <r>
    <x v="459"/>
    <n v="2"/>
  </r>
  <r>
    <x v="460"/>
    <n v="1"/>
  </r>
  <r>
    <x v="461"/>
    <n v="1"/>
  </r>
  <r>
    <x v="462"/>
    <n v="1"/>
  </r>
  <r>
    <x v="221"/>
    <n v="2"/>
  </r>
  <r>
    <x v="463"/>
    <n v="1"/>
  </r>
  <r>
    <x v="464"/>
    <n v="1"/>
  </r>
  <r>
    <x v="465"/>
    <n v="1"/>
  </r>
  <r>
    <x v="466"/>
    <n v="1"/>
  </r>
  <r>
    <x v="467"/>
    <n v="1"/>
  </r>
  <r>
    <x v="468"/>
    <n v="1"/>
  </r>
  <r>
    <x v="469"/>
    <n v="1"/>
  </r>
  <r>
    <x v="92"/>
    <n v="2"/>
  </r>
  <r>
    <x v="470"/>
    <n v="1"/>
  </r>
  <r>
    <x v="229"/>
    <n v="3"/>
  </r>
  <r>
    <x v="231"/>
    <n v="3"/>
  </r>
  <r>
    <x v="471"/>
    <n v="1"/>
  </r>
  <r>
    <x v="472"/>
    <n v="2"/>
  </r>
  <r>
    <x v="473"/>
    <n v="1"/>
  </r>
  <r>
    <x v="101"/>
    <n v="7"/>
  </r>
  <r>
    <x v="102"/>
    <n v="2"/>
  </r>
  <r>
    <x v="474"/>
    <n v="1"/>
  </r>
  <r>
    <x v="475"/>
    <n v="2"/>
  </r>
  <r>
    <x v="476"/>
    <n v="1"/>
  </r>
  <r>
    <x v="477"/>
    <n v="1"/>
  </r>
  <r>
    <x v="478"/>
    <n v="1"/>
  </r>
  <r>
    <x v="479"/>
    <n v="1"/>
  </r>
  <r>
    <x v="480"/>
    <n v="1"/>
  </r>
  <r>
    <x v="481"/>
    <n v="1"/>
  </r>
  <r>
    <x v="482"/>
    <n v="2"/>
  </r>
  <r>
    <x v="483"/>
    <n v="1"/>
  </r>
  <r>
    <x v="484"/>
    <n v="2"/>
  </r>
  <r>
    <x v="484"/>
    <n v="2"/>
  </r>
  <r>
    <x v="395"/>
    <n v="3"/>
  </r>
  <r>
    <x v="485"/>
    <n v="2"/>
  </r>
  <r>
    <x v="6"/>
    <n v="2"/>
  </r>
  <r>
    <x v="486"/>
    <n v="2"/>
  </r>
  <r>
    <x v="487"/>
    <n v="1"/>
  </r>
  <r>
    <x v="488"/>
    <n v="1"/>
  </r>
  <r>
    <x v="489"/>
    <n v="1"/>
  </r>
  <r>
    <x v="490"/>
    <n v="1"/>
  </r>
  <r>
    <x v="491"/>
    <n v="1"/>
  </r>
  <r>
    <x v="492"/>
    <n v="1"/>
  </r>
  <r>
    <x v="493"/>
    <n v="1"/>
  </r>
  <r>
    <x v="494"/>
    <n v="1"/>
  </r>
  <r>
    <x v="270"/>
    <n v="2"/>
  </r>
  <r>
    <x v="495"/>
    <n v="1"/>
  </r>
  <r>
    <x v="14"/>
    <n v="5"/>
  </r>
  <r>
    <x v="496"/>
    <n v="1"/>
  </r>
  <r>
    <x v="145"/>
    <n v="3"/>
  </r>
  <r>
    <x v="145"/>
    <n v="3"/>
  </r>
  <r>
    <x v="408"/>
    <n v="2"/>
  </r>
  <r>
    <x v="497"/>
    <n v="2"/>
  </r>
  <r>
    <x v="280"/>
    <n v="2"/>
  </r>
  <r>
    <x v="282"/>
    <n v="2"/>
  </r>
  <r>
    <x v="498"/>
    <n v="1"/>
  </r>
  <r>
    <x v="499"/>
    <n v="1"/>
  </r>
  <r>
    <x v="412"/>
    <n v="2"/>
  </r>
  <r>
    <x v="500"/>
    <n v="1"/>
  </r>
  <r>
    <x v="501"/>
    <n v="1"/>
  </r>
  <r>
    <x v="502"/>
    <n v="1"/>
  </r>
  <r>
    <x v="161"/>
    <n v="2"/>
  </r>
  <r>
    <x v="503"/>
    <n v="1"/>
  </r>
  <r>
    <x v="504"/>
    <n v="1"/>
  </r>
  <r>
    <x v="505"/>
    <n v="1"/>
  </r>
  <r>
    <x v="506"/>
    <n v="1"/>
  </r>
  <r>
    <x v="507"/>
    <n v="1"/>
  </r>
  <r>
    <x v="300"/>
    <n v="2"/>
  </r>
  <r>
    <x v="508"/>
    <n v="1"/>
  </r>
  <r>
    <x v="509"/>
    <n v="1"/>
  </r>
  <r>
    <x v="510"/>
    <n v="1"/>
  </r>
  <r>
    <x v="511"/>
    <n v="1"/>
  </r>
  <r>
    <x v="512"/>
    <n v="1"/>
  </r>
  <r>
    <x v="513"/>
    <n v="2"/>
  </r>
  <r>
    <x v="514"/>
    <n v="1"/>
  </r>
  <r>
    <x v="515"/>
    <n v="1"/>
  </r>
  <r>
    <x v="310"/>
    <n v="2"/>
  </r>
  <r>
    <x v="516"/>
    <n v="1"/>
  </r>
  <r>
    <x v="517"/>
    <n v="1"/>
  </r>
  <r>
    <x v="518"/>
    <n v="1"/>
  </r>
  <r>
    <x v="428"/>
    <n v="2"/>
  </r>
  <r>
    <x v="519"/>
    <n v="1"/>
  </r>
  <r>
    <x v="520"/>
    <n v="1"/>
  </r>
  <r>
    <x v="50"/>
    <n v="4"/>
  </r>
  <r>
    <x v="521"/>
    <n v="1"/>
  </r>
  <r>
    <x v="522"/>
    <n v="1"/>
  </r>
  <r>
    <x v="523"/>
    <n v="1"/>
  </r>
  <r>
    <x v="53"/>
    <n v="3"/>
  </r>
  <r>
    <x v="524"/>
    <n v="1"/>
  </r>
  <r>
    <x v="525"/>
    <n v="1"/>
  </r>
  <r>
    <x v="526"/>
    <n v="1"/>
  </r>
  <r>
    <x v="322"/>
    <n v="2"/>
  </r>
  <r>
    <x v="527"/>
    <n v="1"/>
  </r>
  <r>
    <x v="437"/>
    <n v="2"/>
  </r>
  <r>
    <x v="528"/>
    <n v="1"/>
  </r>
  <r>
    <x v="529"/>
    <n v="3"/>
  </r>
  <r>
    <x v="58"/>
    <n v="4"/>
  </r>
  <r>
    <x v="530"/>
    <n v="1"/>
  </r>
  <r>
    <x v="531"/>
    <n v="1"/>
  </r>
  <r>
    <x v="532"/>
    <n v="2"/>
  </r>
  <r>
    <x v="533"/>
    <n v="1"/>
  </r>
  <r>
    <x v="534"/>
    <n v="1"/>
  </r>
  <r>
    <x v="535"/>
    <n v="1"/>
  </r>
  <r>
    <x v="442"/>
    <n v="2"/>
  </r>
  <r>
    <x v="536"/>
    <n v="1"/>
  </r>
  <r>
    <x v="537"/>
    <n v="1"/>
  </r>
  <r>
    <x v="538"/>
    <n v="1"/>
  </r>
  <r>
    <x v="65"/>
    <n v="2"/>
  </r>
  <r>
    <x v="539"/>
    <n v="1"/>
  </r>
  <r>
    <x v="540"/>
    <n v="1"/>
  </r>
  <r>
    <x v="541"/>
    <n v="1"/>
  </r>
  <r>
    <x v="542"/>
    <n v="2"/>
  </r>
  <r>
    <x v="543"/>
    <n v="1"/>
  </r>
  <r>
    <x v="544"/>
    <n v="1"/>
  </r>
  <r>
    <x v="545"/>
    <n v="1"/>
  </r>
  <r>
    <x v="546"/>
    <n v="1"/>
  </r>
  <r>
    <x v="547"/>
    <n v="2"/>
  </r>
  <r>
    <x v="344"/>
    <n v="3"/>
  </r>
  <r>
    <x v="548"/>
    <n v="1"/>
  </r>
  <r>
    <x v="549"/>
    <n v="1"/>
  </r>
  <r>
    <x v="348"/>
    <n v="2"/>
  </r>
  <r>
    <x v="550"/>
    <n v="2"/>
  </r>
  <r>
    <x v="551"/>
    <n v="1"/>
  </r>
  <r>
    <x v="455"/>
    <n v="2"/>
  </r>
  <r>
    <x v="552"/>
    <n v="1"/>
  </r>
  <r>
    <x v="553"/>
    <n v="1"/>
  </r>
  <r>
    <x v="554"/>
    <n v="1"/>
  </r>
  <r>
    <x v="555"/>
    <n v="1"/>
  </r>
  <r>
    <x v="556"/>
    <n v="1"/>
  </r>
  <r>
    <x v="557"/>
    <n v="1"/>
  </r>
  <r>
    <x v="360"/>
    <n v="2"/>
  </r>
  <r>
    <x v="558"/>
    <n v="1"/>
  </r>
  <r>
    <x v="559"/>
    <n v="1"/>
  </r>
  <r>
    <x v="560"/>
    <n v="1"/>
  </r>
  <r>
    <x v="561"/>
    <n v="1"/>
  </r>
  <r>
    <x v="562"/>
    <n v="1"/>
  </r>
  <r>
    <x v="563"/>
    <n v="1"/>
  </r>
  <r>
    <x v="564"/>
    <n v="1"/>
  </r>
  <r>
    <x v="565"/>
    <n v="1"/>
  </r>
  <r>
    <x v="566"/>
    <n v="1"/>
  </r>
  <r>
    <x v="567"/>
    <n v="1"/>
  </r>
  <r>
    <x v="101"/>
    <n v="7"/>
  </r>
  <r>
    <x v="375"/>
    <n v="3"/>
  </r>
  <r>
    <x v="568"/>
    <n v="1"/>
  </r>
  <r>
    <x v="569"/>
    <n v="1"/>
  </r>
  <r>
    <x v="570"/>
    <n v="1"/>
  </r>
  <r>
    <x v="571"/>
    <n v="2"/>
  </r>
  <r>
    <x v="572"/>
    <n v="1"/>
  </r>
  <r>
    <x v="573"/>
    <n v="1"/>
  </r>
  <r>
    <x v="248"/>
    <n v="2"/>
  </r>
  <r>
    <x v="482"/>
    <n v="2"/>
  </r>
  <r>
    <x v="574"/>
    <n v="1"/>
  </r>
  <r>
    <x v="575"/>
    <n v="1"/>
  </r>
  <r>
    <x v="576"/>
    <n v="1"/>
  </r>
  <r>
    <x v="124"/>
    <n v="5"/>
  </r>
  <r>
    <x v="577"/>
    <n v="1"/>
  </r>
  <r>
    <x v="578"/>
    <n v="1"/>
  </r>
  <r>
    <x v="579"/>
    <n v="1"/>
  </r>
  <r>
    <x v="3"/>
    <n v="3"/>
  </r>
  <r>
    <x v="395"/>
    <n v="3"/>
  </r>
  <r>
    <x v="485"/>
    <n v="2"/>
  </r>
  <r>
    <x v="580"/>
    <n v="1"/>
  </r>
  <r>
    <x v="486"/>
    <n v="2"/>
  </r>
  <r>
    <x v="581"/>
    <n v="1"/>
  </r>
  <r>
    <x v="582"/>
    <n v="1"/>
  </r>
  <r>
    <x v="583"/>
    <n v="1"/>
  </r>
  <r>
    <x v="584"/>
    <n v="1"/>
  </r>
  <r>
    <x v="136"/>
    <n v="2"/>
  </r>
  <r>
    <x v="585"/>
    <n v="1"/>
  </r>
  <r>
    <x v="586"/>
    <n v="1"/>
  </r>
  <r>
    <x v="587"/>
    <n v="1"/>
  </r>
  <r>
    <x v="588"/>
    <n v="1"/>
  </r>
  <r>
    <x v="14"/>
    <n v="5"/>
  </r>
  <r>
    <x v="589"/>
    <n v="1"/>
  </r>
  <r>
    <x v="590"/>
    <n v="1"/>
  </r>
  <r>
    <x v="19"/>
    <n v="4"/>
  </r>
  <r>
    <x v="591"/>
    <n v="1"/>
  </r>
  <r>
    <x v="592"/>
    <n v="1"/>
  </r>
  <r>
    <x v="593"/>
    <n v="1"/>
  </r>
  <r>
    <x v="594"/>
    <n v="1"/>
  </r>
  <r>
    <x v="411"/>
    <n v="2"/>
  </r>
  <r>
    <x v="595"/>
    <n v="1"/>
  </r>
  <r>
    <x v="596"/>
    <n v="1"/>
  </r>
  <r>
    <x v="597"/>
    <n v="1"/>
  </r>
  <r>
    <x v="598"/>
    <n v="1"/>
  </r>
  <r>
    <x v="284"/>
    <n v="2"/>
  </r>
  <r>
    <x v="599"/>
    <n v="2"/>
  </r>
  <r>
    <x v="600"/>
    <n v="1"/>
  </r>
  <r>
    <x v="601"/>
    <n v="1"/>
  </r>
  <r>
    <x v="602"/>
    <n v="1"/>
  </r>
  <r>
    <x v="603"/>
    <n v="1"/>
  </r>
  <r>
    <x v="604"/>
    <n v="1"/>
  </r>
  <r>
    <x v="605"/>
    <n v="1"/>
  </r>
  <r>
    <x v="35"/>
    <n v="2"/>
  </r>
  <r>
    <x v="606"/>
    <n v="1"/>
  </r>
  <r>
    <x v="607"/>
    <n v="2"/>
  </r>
  <r>
    <x v="608"/>
    <n v="1"/>
  </r>
  <r>
    <x v="609"/>
    <n v="1"/>
  </r>
  <r>
    <x v="170"/>
    <n v="2"/>
  </r>
  <r>
    <x v="610"/>
    <n v="1"/>
  </r>
  <r>
    <x v="611"/>
    <n v="2"/>
  </r>
  <r>
    <x v="423"/>
    <n v="3"/>
  </r>
  <r>
    <x v="612"/>
    <n v="1"/>
  </r>
  <r>
    <x v="305"/>
    <n v="2"/>
  </r>
  <r>
    <x v="513"/>
    <n v="2"/>
  </r>
  <r>
    <x v="613"/>
    <n v="1"/>
  </r>
  <r>
    <x v="614"/>
    <n v="1"/>
  </r>
  <r>
    <x v="615"/>
    <n v="1"/>
  </r>
  <r>
    <x v="616"/>
    <n v="2"/>
  </r>
  <r>
    <x v="617"/>
    <n v="1"/>
  </r>
  <r>
    <x v="618"/>
    <n v="2"/>
  </r>
  <r>
    <x v="619"/>
    <n v="1"/>
  </r>
  <r>
    <x v="620"/>
    <n v="1"/>
  </r>
  <r>
    <x v="621"/>
    <n v="1"/>
  </r>
  <r>
    <x v="622"/>
    <n v="1"/>
  </r>
  <r>
    <x v="623"/>
    <n v="1"/>
  </r>
  <r>
    <x v="190"/>
    <n v="3"/>
  </r>
  <r>
    <x v="624"/>
    <n v="1"/>
  </r>
  <r>
    <x v="191"/>
    <n v="2"/>
  </r>
  <r>
    <x v="625"/>
    <n v="1"/>
  </r>
  <r>
    <x v="626"/>
    <n v="1"/>
  </r>
  <r>
    <x v="529"/>
    <n v="3"/>
  </r>
  <r>
    <x v="195"/>
    <n v="3"/>
  </r>
  <r>
    <x v="58"/>
    <n v="4"/>
  </r>
  <r>
    <x v="627"/>
    <n v="2"/>
  </r>
  <r>
    <x v="532"/>
    <n v="2"/>
  </r>
  <r>
    <x v="628"/>
    <n v="1"/>
  </r>
  <r>
    <x v="629"/>
    <n v="1"/>
  </r>
  <r>
    <x v="630"/>
    <n v="1"/>
  </r>
  <r>
    <x v="631"/>
    <n v="1"/>
  </r>
  <r>
    <x v="632"/>
    <n v="1"/>
  </r>
  <r>
    <x v="633"/>
    <n v="1"/>
  </r>
  <r>
    <x v="337"/>
    <n v="3"/>
  </r>
  <r>
    <x v="542"/>
    <n v="2"/>
  </r>
  <r>
    <x v="634"/>
    <n v="1"/>
  </r>
  <r>
    <x v="635"/>
    <n v="1"/>
  </r>
  <r>
    <x v="448"/>
    <n v="2"/>
  </r>
  <r>
    <x v="547"/>
    <n v="2"/>
  </r>
  <r>
    <x v="636"/>
    <n v="1"/>
  </r>
  <r>
    <x v="343"/>
    <n v="2"/>
  </r>
  <r>
    <x v="344"/>
    <n v="3"/>
  </r>
  <r>
    <x v="637"/>
    <n v="1"/>
  </r>
  <r>
    <x v="550"/>
    <n v="2"/>
  </r>
  <r>
    <x v="76"/>
    <n v="3"/>
  </r>
  <r>
    <x v="638"/>
    <n v="1"/>
  </r>
  <r>
    <x v="639"/>
    <n v="1"/>
  </r>
  <r>
    <x v="640"/>
    <n v="1"/>
  </r>
  <r>
    <x v="641"/>
    <n v="1"/>
  </r>
  <r>
    <x v="642"/>
    <n v="1"/>
  </r>
  <r>
    <x v="643"/>
    <n v="1"/>
  </r>
  <r>
    <x v="644"/>
    <n v="1"/>
  </r>
  <r>
    <x v="459"/>
    <n v="2"/>
  </r>
  <r>
    <x v="645"/>
    <n v="1"/>
  </r>
  <r>
    <x v="82"/>
    <n v="2"/>
  </r>
  <r>
    <x v="646"/>
    <n v="1"/>
  </r>
  <r>
    <x v="647"/>
    <n v="1"/>
  </r>
  <r>
    <x v="648"/>
    <n v="1"/>
  </r>
  <r>
    <x v="649"/>
    <n v="1"/>
  </r>
  <r>
    <x v="650"/>
    <n v="1"/>
  </r>
  <r>
    <x v="651"/>
    <n v="1"/>
  </r>
  <r>
    <x v="652"/>
    <n v="1"/>
  </r>
  <r>
    <x v="653"/>
    <n v="1"/>
  </r>
  <r>
    <x v="654"/>
    <n v="1"/>
  </r>
  <r>
    <x v="655"/>
    <n v="1"/>
  </r>
  <r>
    <x v="91"/>
    <n v="2"/>
  </r>
  <r>
    <x v="656"/>
    <n v="1"/>
  </r>
  <r>
    <x v="657"/>
    <n v="1"/>
  </r>
  <r>
    <x v="658"/>
    <n v="1"/>
  </r>
  <r>
    <x v="659"/>
    <n v="1"/>
  </r>
  <r>
    <x v="231"/>
    <n v="3"/>
  </r>
  <r>
    <x v="369"/>
    <n v="2"/>
  </r>
  <r>
    <x v="370"/>
    <n v="2"/>
  </r>
  <r>
    <x v="660"/>
    <n v="1"/>
  </r>
  <r>
    <x v="661"/>
    <n v="1"/>
  </r>
  <r>
    <x v="101"/>
    <n v="7"/>
  </r>
  <r>
    <x v="662"/>
    <n v="1"/>
  </r>
  <r>
    <x v="663"/>
    <n v="1"/>
  </r>
  <r>
    <x v="375"/>
    <n v="3"/>
  </r>
  <r>
    <x v="376"/>
    <n v="2"/>
  </r>
  <r>
    <x v="475"/>
    <n v="2"/>
  </r>
  <r>
    <x v="664"/>
    <n v="1"/>
  </r>
  <r>
    <x v="665"/>
    <n v="1"/>
  </r>
  <r>
    <x v="666"/>
    <n v="1"/>
  </r>
  <r>
    <x v="667"/>
    <n v="1"/>
  </r>
  <r>
    <x v="668"/>
    <n v="1"/>
  </r>
  <r>
    <x v="669"/>
    <n v="1"/>
  </r>
  <r>
    <x v="670"/>
    <n v="1"/>
  </r>
  <r>
    <x v="124"/>
    <n v="5"/>
  </r>
  <r>
    <x v="671"/>
    <n v="1"/>
  </r>
  <r>
    <x v="672"/>
    <n v="1"/>
  </r>
  <r>
    <x v="673"/>
    <n v="1"/>
  </r>
  <r>
    <x v="674"/>
    <n v="1"/>
  </r>
  <r>
    <x v="675"/>
    <n v="1"/>
  </r>
  <r>
    <x v="676"/>
    <n v="1"/>
  </r>
  <r>
    <x v="135"/>
    <n v="2"/>
  </r>
  <r>
    <x v="677"/>
    <n v="1"/>
  </r>
  <r>
    <x v="678"/>
    <n v="1"/>
  </r>
  <r>
    <x v="679"/>
    <n v="1"/>
  </r>
  <r>
    <x v="268"/>
    <n v="2"/>
  </r>
  <r>
    <x v="271"/>
    <n v="2"/>
  </r>
  <r>
    <x v="680"/>
    <n v="1"/>
  </r>
  <r>
    <x v="13"/>
    <n v="2"/>
  </r>
  <r>
    <x v="14"/>
    <n v="5"/>
  </r>
  <r>
    <x v="681"/>
    <n v="1"/>
  </r>
  <r>
    <x v="682"/>
    <n v="1"/>
  </r>
  <r>
    <x v="683"/>
    <n v="1"/>
  </r>
  <r>
    <x v="497"/>
    <n v="2"/>
  </r>
  <r>
    <x v="684"/>
    <n v="1"/>
  </r>
  <r>
    <x v="281"/>
    <n v="2"/>
  </r>
  <r>
    <x v="685"/>
    <n v="1"/>
  </r>
  <r>
    <x v="686"/>
    <n v="1"/>
  </r>
  <r>
    <x v="149"/>
    <n v="2"/>
  </r>
  <r>
    <x v="151"/>
    <n v="2"/>
  </r>
  <r>
    <x v="599"/>
    <n v="2"/>
  </r>
  <r>
    <x v="160"/>
    <n v="2"/>
  </r>
  <r>
    <x v="687"/>
    <n v="1"/>
  </r>
  <r>
    <x v="688"/>
    <n v="1"/>
  </r>
  <r>
    <x v="165"/>
    <n v="2"/>
  </r>
  <r>
    <x v="689"/>
    <n v="1"/>
  </r>
  <r>
    <x v="607"/>
    <n v="2"/>
  </r>
  <r>
    <x v="690"/>
    <n v="1"/>
  </r>
  <r>
    <x v="691"/>
    <n v="1"/>
  </r>
  <r>
    <x v="611"/>
    <n v="2"/>
  </r>
  <r>
    <x v="423"/>
    <n v="3"/>
  </r>
  <r>
    <x v="692"/>
    <n v="1"/>
  </r>
  <r>
    <x v="693"/>
    <n v="1"/>
  </r>
  <r>
    <x v="616"/>
    <n v="2"/>
  </r>
  <r>
    <x v="694"/>
    <n v="1"/>
  </r>
  <r>
    <x v="312"/>
    <n v="2"/>
  </r>
  <r>
    <x v="695"/>
    <n v="1"/>
  </r>
  <r>
    <x v="618"/>
    <n v="2"/>
  </r>
  <r>
    <x v="50"/>
    <n v="4"/>
  </r>
  <r>
    <x v="696"/>
    <n v="1"/>
  </r>
  <r>
    <x v="697"/>
    <n v="1"/>
  </r>
  <r>
    <x v="698"/>
    <n v="1"/>
  </r>
  <r>
    <x v="699"/>
    <n v="1"/>
  </r>
  <r>
    <x v="700"/>
    <n v="1"/>
  </r>
  <r>
    <x v="701"/>
    <n v="1"/>
  </r>
  <r>
    <x v="702"/>
    <n v="1"/>
  </r>
  <r>
    <x v="703"/>
    <n v="1"/>
  </r>
  <r>
    <x v="704"/>
    <n v="1"/>
  </r>
  <r>
    <x v="705"/>
    <n v="1"/>
  </r>
  <r>
    <x v="706"/>
    <n v="1"/>
  </r>
  <r>
    <x v="707"/>
    <n v="1"/>
  </r>
  <r>
    <x v="708"/>
    <n v="1"/>
  </r>
  <r>
    <x v="529"/>
    <n v="3"/>
  </r>
  <r>
    <x v="709"/>
    <n v="1"/>
  </r>
  <r>
    <x v="627"/>
    <n v="2"/>
  </r>
  <r>
    <x v="710"/>
    <n v="1"/>
  </r>
  <r>
    <x v="198"/>
    <n v="2"/>
  </r>
  <r>
    <x v="711"/>
    <n v="1"/>
  </r>
  <r>
    <x v="712"/>
    <n v="1"/>
  </r>
  <r>
    <x v="713"/>
    <n v="1"/>
  </r>
  <r>
    <x v="714"/>
    <n v="1"/>
  </r>
  <r>
    <x v="715"/>
    <n v="1"/>
  </r>
  <r>
    <x v="716"/>
    <n v="1"/>
  </r>
  <r>
    <x v="717"/>
    <n v="1"/>
  </r>
  <r>
    <x v="718"/>
    <n v="1"/>
  </r>
  <r>
    <x v="719"/>
    <n v="1"/>
  </r>
  <r>
    <x v="720"/>
    <n v="1"/>
  </r>
  <r>
    <x v="721"/>
    <n v="1"/>
  </r>
  <r>
    <x v="722"/>
    <n v="1"/>
  </r>
  <r>
    <x v="345"/>
    <n v="2"/>
  </r>
  <r>
    <x v="723"/>
    <n v="1"/>
  </r>
  <r>
    <x v="454"/>
    <n v="2"/>
  </r>
  <r>
    <x v="724"/>
    <n v="1"/>
  </r>
  <r>
    <x v="76"/>
    <n v="3"/>
  </r>
  <r>
    <x v="456"/>
    <n v="2"/>
  </r>
  <r>
    <x v="725"/>
    <n v="1"/>
  </r>
  <r>
    <x v="726"/>
    <n v="1"/>
  </r>
  <r>
    <x v="727"/>
    <n v="1"/>
  </r>
  <r>
    <x v="728"/>
    <n v="1"/>
  </r>
  <r>
    <x v="729"/>
    <n v="1"/>
  </r>
  <r>
    <x v="730"/>
    <n v="1"/>
  </r>
  <r>
    <x v="731"/>
    <n v="1"/>
  </r>
  <r>
    <x v="732"/>
    <n v="1"/>
  </r>
  <r>
    <x v="733"/>
    <n v="1"/>
  </r>
  <r>
    <x v="734"/>
    <n v="1"/>
  </r>
  <r>
    <x v="222"/>
    <n v="2"/>
  </r>
  <r>
    <x v="735"/>
    <n v="1"/>
  </r>
  <r>
    <x v="736"/>
    <n v="1"/>
  </r>
  <r>
    <x v="86"/>
    <n v="2"/>
  </r>
  <r>
    <x v="737"/>
    <n v="1"/>
  </r>
  <r>
    <x v="738"/>
    <n v="1"/>
  </r>
  <r>
    <x v="739"/>
    <n v="1"/>
  </r>
  <r>
    <x v="740"/>
    <n v="1"/>
  </r>
  <r>
    <x v="741"/>
    <n v="1"/>
  </r>
  <r>
    <x v="742"/>
    <n v="1"/>
  </r>
  <r>
    <x v="743"/>
    <n v="1"/>
  </r>
  <r>
    <x v="472"/>
    <n v="2"/>
  </r>
  <r>
    <x v="744"/>
    <n v="1"/>
  </r>
  <r>
    <x v="745"/>
    <n v="1"/>
  </r>
  <r>
    <x v="101"/>
    <n v="7"/>
  </r>
  <r>
    <x v="746"/>
    <n v="1"/>
  </r>
  <r>
    <x v="747"/>
    <n v="1"/>
  </r>
  <r>
    <x v="748"/>
    <n v="1"/>
  </r>
  <r>
    <x v="749"/>
    <n v="1"/>
  </r>
  <r>
    <x v="750"/>
    <n v="1"/>
  </r>
  <r>
    <x v="57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32BBE-4664-4623-AA17-409DCFBA6EAB}" name="Tabella pivot6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G1:J2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WMS" fld="0" baseField="0" baseItem="0"/>
    <dataField name="Somma di SELEZIONATA" fld="1" baseField="0" baseItem="0"/>
    <dataField name="Somma di INCONTRATA" fld="2" baseField="0" baseItem="0"/>
    <dataField name="Somma di CALL/VISITA" fld="3" baseField="0" baseItem="0"/>
  </dataFields>
  <formats count="3"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2DA6C-4B36-4A00-A68E-64C0667D8542}" name="Tabella pivot8" cacheId="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G1:J2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WMS" fld="0" baseField="0" baseItem="0"/>
    <dataField name="Somma di SELEZIONATA" fld="1" baseField="0" baseItem="0"/>
    <dataField name="Somma di INCONTRATA" fld="2" baseField="0" baseItem="0"/>
    <dataField name="Somma di CALL/VISITA" fld="3" baseField="0" baseItem="0"/>
  </dataFields>
  <formats count="3"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9728E-09EB-4345-87CB-61DA0E987F27}" name="Tabella pivot4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G1:J2" firstHeaderRow="0" firstDataRow="1" firstDataCol="0"/>
  <pivotFields count="4">
    <pivotField dataField="1" showAll="0"/>
    <pivotField dataField="1" showAll="0"/>
    <pivotField dataField="1" showAll="0"/>
    <pivotField dataField="1" showAll="0">
      <items count="2">
        <item x="0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WMS" fld="0" baseField="0" baseItem="0"/>
    <dataField name="Somma di SELEZIONATA" fld="1" baseField="0" baseItem="0"/>
    <dataField name="Somma di INCONTRATA" fld="2" baseField="0" baseItem="0"/>
    <dataField name="Conteggio di CALL/VISITA" fld="3" subtotal="count" baseField="0" baseItem="0"/>
  </dataFields>
  <formats count="1">
    <format dxfId="7">
      <pivotArea outline="0" collapsedLevelsAreSubtotals="1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EF454-30DC-4EE9-BD06-C05ACBB7D667}" name="Tabella pivot5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G1:J2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WMS" fld="0" baseField="0" baseItem="0"/>
    <dataField name="Somma di SELEZIONATA" fld="1" baseField="0" baseItem="0"/>
    <dataField name="Somma di INCONTRATA" fld="2" baseField="0" baseItem="0"/>
    <dataField name="Somma di CALL/VISITA" fld="3" baseField="0" baseItem="0"/>
  </dataFields>
  <formats count="1">
    <format dxfId="6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E0214-C630-4D5F-B39D-AC76F552486B}" name="Tabella pivot7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G1:J2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WMS" fld="0" baseField="0" baseItem="0"/>
    <dataField name="Somma di SELEZIONATA" fld="1" baseField="0" baseItem="0"/>
    <dataField name="Somma di INCONTRATA" fld="2" baseField="0" baseItem="0"/>
    <dataField name="Somma di CALL/VISITA" fld="3" baseField="0" baseItem="0"/>
  </dataFields>
  <formats count="1">
    <format dxfId="5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04A94-0DC7-4EA7-A0A4-D8165FFD4257}" name="Tabella pivot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I1:L2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WMS" fld="0" baseField="0" baseItem="0"/>
    <dataField name="Somma di SELEZIONATA" fld="1" baseField="0" baseItem="0"/>
    <dataField name="Somma di INCONTRATA" fld="2" baseField="0" baseItem="0"/>
    <dataField name="Somma di CALL/VISITA" fld="3" baseField="0" baseItem="0"/>
  </dataFields>
  <formats count="3"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2D85A-AE4D-47F7-B132-7133124A2669}" name="Tabella pivot1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H1:K2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WMS" fld="0" baseField="0" baseItem="0"/>
    <dataField name="Somma di SELEZIONATA" fld="1" baseField="0" baseItem="0"/>
    <dataField name="Somma di INCONTRATA" fld="2" baseField="0" baseItem="0"/>
    <dataField name="Somma di CALL/VISITA" fld="3" baseField="0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34A79-743E-47B3-BFAF-518D342E9753}" name="Tabella pivot9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D1:E25" firstHeaderRow="1" firstDataRow="1" firstDataCol="1"/>
  <pivotFields count="2">
    <pivotField axis="axisRow" showAll="0" measureFilter="1">
      <items count="752">
        <item x="0"/>
        <item x="482"/>
        <item x="670"/>
        <item x="122"/>
        <item x="250"/>
        <item x="1"/>
        <item x="251"/>
        <item x="123"/>
        <item x="252"/>
        <item x="253"/>
        <item x="254"/>
        <item x="255"/>
        <item x="256"/>
        <item x="390"/>
        <item x="574"/>
        <item x="483"/>
        <item x="575"/>
        <item x="391"/>
        <item x="484"/>
        <item x="576"/>
        <item x="257"/>
        <item x="124"/>
        <item x="577"/>
        <item x="671"/>
        <item x="392"/>
        <item x="125"/>
        <item x="393"/>
        <item x="126"/>
        <item x="394"/>
        <item x="672"/>
        <item x="127"/>
        <item x="128"/>
        <item x="578"/>
        <item x="2"/>
        <item x="129"/>
        <item x="579"/>
        <item x="3"/>
        <item x="395"/>
        <item x="4"/>
        <item x="396"/>
        <item x="130"/>
        <item x="5"/>
        <item x="485"/>
        <item x="580"/>
        <item x="673"/>
        <item x="6"/>
        <item x="258"/>
        <item x="674"/>
        <item x="131"/>
        <item x="132"/>
        <item x="259"/>
        <item x="133"/>
        <item x="486"/>
        <item x="260"/>
        <item x="261"/>
        <item x="582"/>
        <item x="581"/>
        <item x="487"/>
        <item x="488"/>
        <item x="675"/>
        <item x="676"/>
        <item x="583"/>
        <item x="134"/>
        <item x="262"/>
        <item x="489"/>
        <item x="490"/>
        <item x="263"/>
        <item x="397"/>
        <item x="584"/>
        <item x="491"/>
        <item x="135"/>
        <item x="136"/>
        <item x="492"/>
        <item x="398"/>
        <item x="493"/>
        <item x="399"/>
        <item x="677"/>
        <item x="585"/>
        <item x="264"/>
        <item x="137"/>
        <item x="7"/>
        <item x="265"/>
        <item x="586"/>
        <item x="400"/>
        <item x="266"/>
        <item x="678"/>
        <item x="679"/>
        <item x="8"/>
        <item x="138"/>
        <item x="267"/>
        <item x="139"/>
        <item x="494"/>
        <item x="401"/>
        <item x="268"/>
        <item x="9"/>
        <item x="587"/>
        <item x="402"/>
        <item x="403"/>
        <item x="10"/>
        <item x="269"/>
        <item x="140"/>
        <item x="141"/>
        <item x="270"/>
        <item x="404"/>
        <item x="495"/>
        <item x="405"/>
        <item x="271"/>
        <item x="588"/>
        <item x="272"/>
        <item x="142"/>
        <item x="680"/>
        <item x="273"/>
        <item x="11"/>
        <item x="143"/>
        <item x="406"/>
        <item x="12"/>
        <item x="13"/>
        <item x="14"/>
        <item x="681"/>
        <item x="589"/>
        <item x="496"/>
        <item x="15"/>
        <item x="590"/>
        <item x="144"/>
        <item x="145"/>
        <item x="274"/>
        <item x="16"/>
        <item x="407"/>
        <item x="682"/>
        <item x="146"/>
        <item x="275"/>
        <item x="17"/>
        <item x="18"/>
        <item x="19"/>
        <item x="276"/>
        <item x="408"/>
        <item x="20"/>
        <item x="277"/>
        <item x="21"/>
        <item x="591"/>
        <item x="592"/>
        <item x="278"/>
        <item x="683"/>
        <item x="147"/>
        <item x="497"/>
        <item x="409"/>
        <item x="279"/>
        <item x="22"/>
        <item x="684"/>
        <item x="593"/>
        <item x="594"/>
        <item x="280"/>
        <item x="281"/>
        <item x="148"/>
        <item x="685"/>
        <item x="686"/>
        <item x="410"/>
        <item x="149"/>
        <item x="150"/>
        <item x="282"/>
        <item x="411"/>
        <item x="151"/>
        <item x="498"/>
        <item x="595"/>
        <item x="596"/>
        <item x="597"/>
        <item x="499"/>
        <item x="598"/>
        <item x="283"/>
        <item x="152"/>
        <item x="23"/>
        <item x="284"/>
        <item x="24"/>
        <item x="153"/>
        <item x="154"/>
        <item x="285"/>
        <item x="599"/>
        <item x="155"/>
        <item x="286"/>
        <item x="412"/>
        <item x="413"/>
        <item x="287"/>
        <item x="156"/>
        <item x="414"/>
        <item x="157"/>
        <item x="500"/>
        <item x="288"/>
        <item x="25"/>
        <item x="289"/>
        <item x="290"/>
        <item x="158"/>
        <item x="291"/>
        <item x="159"/>
        <item x="501"/>
        <item x="600"/>
        <item x="502"/>
        <item x="160"/>
        <item x="415"/>
        <item x="601"/>
        <item x="687"/>
        <item x="161"/>
        <item x="602"/>
        <item x="292"/>
        <item x="26"/>
        <item x="27"/>
        <item x="503"/>
        <item x="416"/>
        <item x="162"/>
        <item x="293"/>
        <item x="294"/>
        <item x="504"/>
        <item x="295"/>
        <item x="163"/>
        <item x="296"/>
        <item x="297"/>
        <item x="603"/>
        <item x="688"/>
        <item x="164"/>
        <item x="604"/>
        <item x="417"/>
        <item x="28"/>
        <item x="29"/>
        <item x="165"/>
        <item x="418"/>
        <item x="30"/>
        <item x="689"/>
        <item x="605"/>
        <item x="31"/>
        <item x="298"/>
        <item x="38"/>
        <item x="32"/>
        <item x="33"/>
        <item x="34"/>
        <item x="35"/>
        <item x="299"/>
        <item x="505"/>
        <item x="166"/>
        <item x="506"/>
        <item x="507"/>
        <item x="606"/>
        <item x="167"/>
        <item x="607"/>
        <item x="300"/>
        <item x="608"/>
        <item x="168"/>
        <item x="609"/>
        <item x="169"/>
        <item x="508"/>
        <item x="509"/>
        <item x="170"/>
        <item x="301"/>
        <item x="302"/>
        <item x="610"/>
        <item x="419"/>
        <item x="303"/>
        <item x="420"/>
        <item x="36"/>
        <item x="304"/>
        <item x="690"/>
        <item x="37"/>
        <item x="171"/>
        <item x="421"/>
        <item x="39"/>
        <item x="691"/>
        <item x="611"/>
        <item x="510"/>
        <item x="422"/>
        <item x="423"/>
        <item x="612"/>
        <item x="305"/>
        <item x="511"/>
        <item x="40"/>
        <item x="172"/>
        <item x="512"/>
        <item x="513"/>
        <item x="613"/>
        <item x="514"/>
        <item x="41"/>
        <item x="614"/>
        <item x="42"/>
        <item x="43"/>
        <item x="306"/>
        <item x="307"/>
        <item x="515"/>
        <item x="173"/>
        <item x="174"/>
        <item x="175"/>
        <item x="692"/>
        <item x="693"/>
        <item x="615"/>
        <item x="424"/>
        <item x="616"/>
        <item x="44"/>
        <item x="694"/>
        <item x="45"/>
        <item x="308"/>
        <item x="425"/>
        <item x="176"/>
        <item x="309"/>
        <item x="310"/>
        <item x="311"/>
        <item x="177"/>
        <item x="312"/>
        <item x="695"/>
        <item x="178"/>
        <item x="46"/>
        <item x="426"/>
        <item x="516"/>
        <item x="47"/>
        <item x="427"/>
        <item x="517"/>
        <item x="48"/>
        <item x="518"/>
        <item x="428"/>
        <item x="179"/>
        <item x="617"/>
        <item x="618"/>
        <item x="313"/>
        <item x="180"/>
        <item x="619"/>
        <item x="314"/>
        <item x="181"/>
        <item x="315"/>
        <item x="316"/>
        <item x="182"/>
        <item x="317"/>
        <item x="519"/>
        <item x="520"/>
        <item x="49"/>
        <item x="50"/>
        <item x="183"/>
        <item x="696"/>
        <item x="521"/>
        <item x="620"/>
        <item x="697"/>
        <item x="698"/>
        <item x="522"/>
        <item x="184"/>
        <item x="318"/>
        <item x="51"/>
        <item x="429"/>
        <item x="319"/>
        <item x="430"/>
        <item x="185"/>
        <item x="699"/>
        <item x="621"/>
        <item x="186"/>
        <item x="523"/>
        <item x="52"/>
        <item x="320"/>
        <item x="187"/>
        <item x="431"/>
        <item x="188"/>
        <item x="700"/>
        <item x="432"/>
        <item x="433"/>
        <item x="189"/>
        <item x="434"/>
        <item x="622"/>
        <item x="53"/>
        <item x="321"/>
        <item x="54"/>
        <item x="524"/>
        <item x="525"/>
        <item x="701"/>
        <item x="435"/>
        <item x="436"/>
        <item x="702"/>
        <item x="623"/>
        <item x="703"/>
        <item x="526"/>
        <item x="704"/>
        <item x="190"/>
        <item x="322"/>
        <item x="323"/>
        <item x="624"/>
        <item x="191"/>
        <item x="324"/>
        <item x="705"/>
        <item x="192"/>
        <item x="325"/>
        <item x="193"/>
        <item x="625"/>
        <item x="626"/>
        <item x="194"/>
        <item x="326"/>
        <item x="706"/>
        <item x="527"/>
        <item x="437"/>
        <item x="707"/>
        <item x="708"/>
        <item x="327"/>
        <item x="528"/>
        <item x="328"/>
        <item x="438"/>
        <item x="529"/>
        <item x="195"/>
        <item x="439"/>
        <item x="196"/>
        <item x="55"/>
        <item x="56"/>
        <item x="440"/>
        <item x="57"/>
        <item x="58"/>
        <item x="709"/>
        <item x="627"/>
        <item x="530"/>
        <item x="710"/>
        <item x="329"/>
        <item x="531"/>
        <item x="532"/>
        <item x="628"/>
        <item x="197"/>
        <item x="198"/>
        <item x="711"/>
        <item x="629"/>
        <item x="59"/>
        <item x="60"/>
        <item x="61"/>
        <item x="533"/>
        <item x="441"/>
        <item x="630"/>
        <item x="534"/>
        <item x="199"/>
        <item x="535"/>
        <item x="712"/>
        <item x="330"/>
        <item x="200"/>
        <item x="713"/>
        <item x="331"/>
        <item x="442"/>
        <item x="714"/>
        <item x="536"/>
        <item x="62"/>
        <item x="332"/>
        <item x="201"/>
        <item x="631"/>
        <item x="333"/>
        <item x="202"/>
        <item x="537"/>
        <item x="443"/>
        <item x="444"/>
        <item x="715"/>
        <item x="445"/>
        <item x="632"/>
        <item x="63"/>
        <item x="538"/>
        <item x="334"/>
        <item x="64"/>
        <item x="203"/>
        <item x="204"/>
        <item x="65"/>
        <item x="633"/>
        <item x="335"/>
        <item x="716"/>
        <item x="717"/>
        <item x="66"/>
        <item x="539"/>
        <item x="336"/>
        <item x="337"/>
        <item x="205"/>
        <item x="718"/>
        <item x="540"/>
        <item x="206"/>
        <item x="338"/>
        <item x="67"/>
        <item x="541"/>
        <item x="542"/>
        <item x="446"/>
        <item x="634"/>
        <item x="719"/>
        <item x="68"/>
        <item x="339"/>
        <item x="720"/>
        <item x="635"/>
        <item x="207"/>
        <item x="340"/>
        <item x="543"/>
        <item x="69"/>
        <item x="447"/>
        <item x="544"/>
        <item x="448"/>
        <item x="208"/>
        <item x="70"/>
        <item x="449"/>
        <item x="341"/>
        <item x="545"/>
        <item x="71"/>
        <item x="546"/>
        <item x="450"/>
        <item x="547"/>
        <item x="342"/>
        <item x="636"/>
        <item x="343"/>
        <item x="72"/>
        <item x="344"/>
        <item x="451"/>
        <item x="721"/>
        <item x="73"/>
        <item x="722"/>
        <item x="548"/>
        <item x="345"/>
        <item x="74"/>
        <item x="549"/>
        <item x="209"/>
        <item x="210"/>
        <item x="452"/>
        <item x="346"/>
        <item x="347"/>
        <item x="723"/>
        <item x="453"/>
        <item x="348"/>
        <item x="211"/>
        <item x="637"/>
        <item x="349"/>
        <item x="454"/>
        <item x="550"/>
        <item x="551"/>
        <item x="724"/>
        <item x="75"/>
        <item x="455"/>
        <item x="350"/>
        <item x="76"/>
        <item x="77"/>
        <item x="78"/>
        <item x="638"/>
        <item x="639"/>
        <item x="212"/>
        <item x="213"/>
        <item x="456"/>
        <item x="351"/>
        <item x="79"/>
        <item x="725"/>
        <item x="726"/>
        <item x="640"/>
        <item x="457"/>
        <item x="214"/>
        <item x="727"/>
        <item x="352"/>
        <item x="458"/>
        <item x="80"/>
        <item x="728"/>
        <item x="552"/>
        <item x="641"/>
        <item x="642"/>
        <item x="215"/>
        <item x="729"/>
        <item x="216"/>
        <item x="643"/>
        <item x="81"/>
        <item x="644"/>
        <item x="459"/>
        <item x="645"/>
        <item x="353"/>
        <item x="460"/>
        <item x="730"/>
        <item x="731"/>
        <item x="354"/>
        <item x="217"/>
        <item x="82"/>
        <item x="646"/>
        <item x="553"/>
        <item x="554"/>
        <item x="218"/>
        <item x="732"/>
        <item x="647"/>
        <item x="355"/>
        <item x="219"/>
        <item x="461"/>
        <item x="83"/>
        <item x="220"/>
        <item x="648"/>
        <item x="356"/>
        <item x="462"/>
        <item x="733"/>
        <item x="555"/>
        <item x="84"/>
        <item x="649"/>
        <item x="556"/>
        <item x="221"/>
        <item x="650"/>
        <item x="357"/>
        <item x="734"/>
        <item x="222"/>
        <item x="358"/>
        <item x="557"/>
        <item x="223"/>
        <item x="651"/>
        <item x="652"/>
        <item x="463"/>
        <item x="735"/>
        <item x="359"/>
        <item x="464"/>
        <item x="85"/>
        <item x="465"/>
        <item x="466"/>
        <item x="736"/>
        <item x="360"/>
        <item x="361"/>
        <item x="653"/>
        <item x="86"/>
        <item x="467"/>
        <item x="224"/>
        <item x="87"/>
        <item x="88"/>
        <item x="468"/>
        <item x="737"/>
        <item x="558"/>
        <item x="362"/>
        <item x="363"/>
        <item x="225"/>
        <item x="559"/>
        <item x="364"/>
        <item x="469"/>
        <item x="654"/>
        <item x="560"/>
        <item x="89"/>
        <item x="738"/>
        <item x="90"/>
        <item x="739"/>
        <item x="365"/>
        <item x="226"/>
        <item x="655"/>
        <item x="91"/>
        <item x="366"/>
        <item x="92"/>
        <item x="561"/>
        <item x="740"/>
        <item x="656"/>
        <item x="657"/>
        <item x="741"/>
        <item x="562"/>
        <item x="227"/>
        <item x="93"/>
        <item x="367"/>
        <item x="228"/>
        <item x="94"/>
        <item x="95"/>
        <item x="563"/>
        <item x="470"/>
        <item x="742"/>
        <item x="96"/>
        <item x="658"/>
        <item x="229"/>
        <item x="659"/>
        <item x="564"/>
        <item x="368"/>
        <item x="743"/>
        <item x="565"/>
        <item x="230"/>
        <item x="231"/>
        <item x="97"/>
        <item x="369"/>
        <item x="98"/>
        <item x="471"/>
        <item x="232"/>
        <item x="472"/>
        <item x="370"/>
        <item x="660"/>
        <item x="371"/>
        <item x="99"/>
        <item x="744"/>
        <item x="661"/>
        <item x="233"/>
        <item x="745"/>
        <item x="566"/>
        <item x="473"/>
        <item x="100"/>
        <item x="234"/>
        <item x="235"/>
        <item x="372"/>
        <item x="567"/>
        <item x="101"/>
        <item x="102"/>
        <item x="746"/>
        <item x="103"/>
        <item x="104"/>
        <item x="236"/>
        <item x="662"/>
        <item x="105"/>
        <item x="106"/>
        <item x="237"/>
        <item x="107"/>
        <item x="108"/>
        <item x="238"/>
        <item x="109"/>
        <item x="663"/>
        <item x="373"/>
        <item x="239"/>
        <item x="110"/>
        <item x="374"/>
        <item x="375"/>
        <item x="747"/>
        <item x="376"/>
        <item x="240"/>
        <item x="111"/>
        <item x="474"/>
        <item x="475"/>
        <item x="112"/>
        <item x="568"/>
        <item x="241"/>
        <item x="242"/>
        <item x="243"/>
        <item x="476"/>
        <item x="113"/>
        <item x="114"/>
        <item x="377"/>
        <item x="569"/>
        <item x="378"/>
        <item x="379"/>
        <item x="664"/>
        <item x="665"/>
        <item x="477"/>
        <item x="115"/>
        <item x="380"/>
        <item x="381"/>
        <item x="570"/>
        <item x="478"/>
        <item x="382"/>
        <item x="116"/>
        <item x="117"/>
        <item x="479"/>
        <item x="383"/>
        <item x="748"/>
        <item x="749"/>
        <item x="750"/>
        <item x="244"/>
        <item x="118"/>
        <item x="245"/>
        <item x="384"/>
        <item x="385"/>
        <item x="246"/>
        <item x="666"/>
        <item x="386"/>
        <item x="571"/>
        <item x="119"/>
        <item x="387"/>
        <item x="120"/>
        <item x="480"/>
        <item x="667"/>
        <item x="668"/>
        <item x="247"/>
        <item x="388"/>
        <item x="389"/>
        <item x="572"/>
        <item x="573"/>
        <item x="248"/>
        <item x="121"/>
        <item x="249"/>
        <item x="481"/>
        <item x="669"/>
        <item t="default"/>
      </items>
    </pivotField>
    <pivotField dataField="1" showAll="0"/>
  </pivotFields>
  <rowFields count="1">
    <field x="0"/>
  </rowFields>
  <rowItems count="24">
    <i>
      <x v="21"/>
    </i>
    <i>
      <x v="36"/>
    </i>
    <i>
      <x v="37"/>
    </i>
    <i>
      <x v="41"/>
    </i>
    <i>
      <x v="117"/>
    </i>
    <i>
      <x v="124"/>
    </i>
    <i>
      <x v="133"/>
    </i>
    <i>
      <x v="267"/>
    </i>
    <i>
      <x v="329"/>
    </i>
    <i>
      <x v="359"/>
    </i>
    <i>
      <x v="372"/>
    </i>
    <i>
      <x v="395"/>
    </i>
    <i>
      <x v="396"/>
    </i>
    <i>
      <x v="403"/>
    </i>
    <i>
      <x v="459"/>
    </i>
    <i>
      <x v="495"/>
    </i>
    <i>
      <x v="514"/>
    </i>
    <i>
      <x v="522"/>
    </i>
    <i>
      <x v="643"/>
    </i>
    <i>
      <x v="650"/>
    </i>
    <i>
      <x v="672"/>
    </i>
    <i>
      <x v="683"/>
    </i>
    <i>
      <x v="691"/>
    </i>
    <i t="grand">
      <x/>
    </i>
  </rowItems>
  <colItems count="1">
    <i/>
  </colItems>
  <dataFields count="1">
    <dataField name="Conteggio di N° presenz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A643-2E06-4443-8F14-96106B812DC7}">
  <dimension ref="A1:J125"/>
  <sheetViews>
    <sheetView zoomScaleNormal="100" workbookViewId="0">
      <selection activeCell="C33" sqref="C33"/>
    </sheetView>
  </sheetViews>
  <sheetFormatPr defaultRowHeight="15" x14ac:dyDescent="0.25"/>
  <cols>
    <col min="1" max="1" width="22.28515625" customWidth="1"/>
    <col min="2" max="2" width="7.85546875" bestFit="1" customWidth="1"/>
    <col min="3" max="3" width="15.5703125" bestFit="1" customWidth="1"/>
    <col min="4" max="4" width="15.140625" bestFit="1" customWidth="1"/>
    <col min="5" max="5" width="17.5703125" customWidth="1"/>
    <col min="6" max="7" width="15" bestFit="1" customWidth="1"/>
    <col min="8" max="8" width="22.85546875" bestFit="1" customWidth="1"/>
    <col min="9" max="9" width="22.5703125" bestFit="1" customWidth="1"/>
    <col min="10" max="10" width="21.5703125" bestFit="1" customWidth="1"/>
  </cols>
  <sheetData>
    <row r="1" spans="1:10" x14ac:dyDescent="0.25">
      <c r="A1" s="95" t="s">
        <v>98</v>
      </c>
      <c r="B1" s="94" t="s">
        <v>211</v>
      </c>
      <c r="C1" s="94" t="s">
        <v>0</v>
      </c>
      <c r="D1" s="94" t="s">
        <v>1</v>
      </c>
      <c r="E1" s="94" t="s">
        <v>642</v>
      </c>
      <c r="G1" s="2" t="s">
        <v>354</v>
      </c>
      <c r="H1" s="2" t="s">
        <v>355</v>
      </c>
      <c r="I1" s="2" t="s">
        <v>356</v>
      </c>
      <c r="J1" s="2" t="s">
        <v>644</v>
      </c>
    </row>
    <row r="2" spans="1:10" x14ac:dyDescent="0.25">
      <c r="A2" s="3" t="s">
        <v>159</v>
      </c>
      <c r="B2" s="2"/>
      <c r="C2" s="2"/>
      <c r="D2" s="2"/>
      <c r="E2" s="2"/>
      <c r="G2" s="97">
        <v>35</v>
      </c>
      <c r="H2" s="97">
        <v>55</v>
      </c>
      <c r="I2" s="97">
        <v>19</v>
      </c>
      <c r="J2" s="97">
        <v>3</v>
      </c>
    </row>
    <row r="3" spans="1:10" x14ac:dyDescent="0.25">
      <c r="A3" s="4" t="s">
        <v>178</v>
      </c>
      <c r="B3" s="2"/>
      <c r="C3" s="5">
        <v>1</v>
      </c>
      <c r="D3" s="2"/>
      <c r="E3" s="2"/>
    </row>
    <row r="4" spans="1:10" x14ac:dyDescent="0.25">
      <c r="A4" s="4" t="s">
        <v>99</v>
      </c>
      <c r="B4" s="2"/>
      <c r="C4" s="2"/>
      <c r="D4" s="5">
        <v>1</v>
      </c>
      <c r="E4" s="2"/>
    </row>
    <row r="5" spans="1:10" x14ac:dyDescent="0.25">
      <c r="A5" s="3" t="s">
        <v>100</v>
      </c>
      <c r="B5" s="5">
        <v>1</v>
      </c>
      <c r="C5" s="5">
        <v>1</v>
      </c>
      <c r="D5" s="2"/>
      <c r="E5" s="2"/>
    </row>
    <row r="6" spans="1:10" x14ac:dyDescent="0.25">
      <c r="A6" s="3" t="s">
        <v>101</v>
      </c>
      <c r="B6" s="2"/>
      <c r="C6" s="2"/>
      <c r="D6" s="2"/>
      <c r="E6" s="41"/>
    </row>
    <row r="7" spans="1:10" x14ac:dyDescent="0.25">
      <c r="A7" s="4" t="s">
        <v>102</v>
      </c>
      <c r="B7" s="2"/>
      <c r="C7" s="2"/>
      <c r="D7" s="2"/>
      <c r="E7" s="2"/>
    </row>
    <row r="8" spans="1:10" x14ac:dyDescent="0.25">
      <c r="A8" s="3" t="s">
        <v>103</v>
      </c>
      <c r="B8" s="2"/>
      <c r="C8" s="2"/>
      <c r="D8" s="2"/>
      <c r="E8" s="2"/>
    </row>
    <row r="9" spans="1:10" x14ac:dyDescent="0.25">
      <c r="A9" s="3" t="s">
        <v>104</v>
      </c>
      <c r="B9" s="2"/>
      <c r="C9" s="2"/>
      <c r="D9" s="2"/>
      <c r="E9" s="2"/>
    </row>
    <row r="10" spans="1:10" x14ac:dyDescent="0.25">
      <c r="A10" s="3" t="s">
        <v>179</v>
      </c>
      <c r="B10" s="2"/>
      <c r="C10" s="2"/>
      <c r="D10" s="2"/>
      <c r="E10" s="2"/>
    </row>
    <row r="11" spans="1:10" x14ac:dyDescent="0.25">
      <c r="A11" s="6" t="s">
        <v>105</v>
      </c>
      <c r="B11" s="2"/>
      <c r="C11" s="2"/>
      <c r="D11" s="2"/>
      <c r="E11" s="2"/>
    </row>
    <row r="12" spans="1:10" x14ac:dyDescent="0.25">
      <c r="A12" s="3" t="s">
        <v>180</v>
      </c>
      <c r="B12" s="2"/>
      <c r="C12" s="5">
        <v>1</v>
      </c>
      <c r="D12" s="2"/>
      <c r="E12" s="2"/>
    </row>
    <row r="13" spans="1:10" x14ac:dyDescent="0.25">
      <c r="A13" s="3" t="s">
        <v>106</v>
      </c>
      <c r="B13" s="5">
        <v>1</v>
      </c>
      <c r="C13" s="5">
        <v>1</v>
      </c>
      <c r="D13" s="2"/>
      <c r="E13" s="2"/>
    </row>
    <row r="14" spans="1:10" x14ac:dyDescent="0.25">
      <c r="A14" s="3" t="s">
        <v>51</v>
      </c>
      <c r="B14" s="5">
        <v>1</v>
      </c>
      <c r="C14" s="5">
        <v>1</v>
      </c>
      <c r="D14" s="5">
        <v>1</v>
      </c>
      <c r="E14" s="2"/>
    </row>
    <row r="15" spans="1:10" x14ac:dyDescent="0.25">
      <c r="A15" s="7" t="s">
        <v>107</v>
      </c>
      <c r="B15" s="2"/>
      <c r="C15" s="5">
        <v>1</v>
      </c>
      <c r="D15" s="2"/>
      <c r="E15" s="2"/>
    </row>
    <row r="16" spans="1:10" x14ac:dyDescent="0.25">
      <c r="A16" s="6" t="s">
        <v>181</v>
      </c>
      <c r="B16" s="2"/>
      <c r="C16" s="2"/>
      <c r="D16" s="2"/>
      <c r="E16" s="2"/>
    </row>
    <row r="17" spans="1:7" x14ac:dyDescent="0.25">
      <c r="A17" s="3" t="s">
        <v>182</v>
      </c>
      <c r="B17" s="2"/>
      <c r="C17" s="5">
        <v>1</v>
      </c>
      <c r="D17" s="2"/>
      <c r="E17" s="2"/>
    </row>
    <row r="18" spans="1:7" x14ac:dyDescent="0.25">
      <c r="A18" s="3" t="s">
        <v>183</v>
      </c>
      <c r="B18" s="2"/>
      <c r="C18" s="5">
        <v>1</v>
      </c>
      <c r="D18" s="2"/>
      <c r="E18" s="2"/>
    </row>
    <row r="19" spans="1:7" ht="26.25" x14ac:dyDescent="0.25">
      <c r="A19" s="6" t="s">
        <v>108</v>
      </c>
      <c r="B19" s="2"/>
      <c r="C19" s="5">
        <v>1</v>
      </c>
      <c r="D19" s="5">
        <v>1</v>
      </c>
      <c r="E19" s="2"/>
    </row>
    <row r="20" spans="1:7" ht="26.25" x14ac:dyDescent="0.25">
      <c r="A20" s="3" t="s">
        <v>184</v>
      </c>
      <c r="B20" s="2"/>
      <c r="C20" s="2"/>
      <c r="D20" s="5">
        <v>1</v>
      </c>
      <c r="E20" s="2"/>
    </row>
    <row r="21" spans="1:7" x14ac:dyDescent="0.25">
      <c r="A21" s="4" t="s">
        <v>185</v>
      </c>
      <c r="B21" s="2"/>
      <c r="C21" s="2"/>
      <c r="D21" s="2"/>
      <c r="E21" s="2"/>
    </row>
    <row r="22" spans="1:7" ht="26.25" x14ac:dyDescent="0.25">
      <c r="A22" s="3" t="s">
        <v>109</v>
      </c>
      <c r="B22" s="5">
        <v>1</v>
      </c>
      <c r="C22" s="5">
        <v>1</v>
      </c>
      <c r="D22" s="5">
        <v>1</v>
      </c>
      <c r="E22" s="2"/>
    </row>
    <row r="23" spans="1:7" x14ac:dyDescent="0.25">
      <c r="A23" s="8" t="s">
        <v>186</v>
      </c>
      <c r="B23" s="2"/>
      <c r="C23" s="2"/>
      <c r="D23" s="2"/>
      <c r="E23" s="2"/>
    </row>
    <row r="24" spans="1:7" x14ac:dyDescent="0.25">
      <c r="A24" s="3" t="s">
        <v>187</v>
      </c>
      <c r="B24" s="2"/>
      <c r="C24" s="2"/>
      <c r="D24" s="2"/>
      <c r="E24" s="2"/>
    </row>
    <row r="25" spans="1:7" x14ac:dyDescent="0.25">
      <c r="A25" s="4" t="s">
        <v>110</v>
      </c>
      <c r="B25" s="5">
        <v>1</v>
      </c>
      <c r="C25" s="5">
        <v>1</v>
      </c>
      <c r="D25" s="5">
        <v>1</v>
      </c>
      <c r="E25" s="2">
        <v>1</v>
      </c>
    </row>
    <row r="26" spans="1:7" x14ac:dyDescent="0.25">
      <c r="A26" s="3" t="s">
        <v>543</v>
      </c>
      <c r="B26" s="2"/>
      <c r="C26" s="2"/>
      <c r="D26" s="2"/>
      <c r="E26" s="2"/>
    </row>
    <row r="27" spans="1:7" x14ac:dyDescent="0.25">
      <c r="A27" s="3" t="s">
        <v>111</v>
      </c>
      <c r="B27" s="2"/>
      <c r="C27" s="2"/>
      <c r="D27" s="2"/>
      <c r="E27" s="2"/>
    </row>
    <row r="28" spans="1:7" x14ac:dyDescent="0.25">
      <c r="A28" s="4" t="s">
        <v>112</v>
      </c>
      <c r="B28" s="2"/>
      <c r="C28" s="2"/>
      <c r="D28" s="2"/>
      <c r="E28" s="2"/>
    </row>
    <row r="29" spans="1:7" x14ac:dyDescent="0.25">
      <c r="A29" s="8" t="s">
        <v>22</v>
      </c>
      <c r="B29" s="2"/>
      <c r="C29" s="2"/>
      <c r="D29" s="2"/>
      <c r="E29" s="2"/>
      <c r="G29" t="s">
        <v>159</v>
      </c>
    </row>
    <row r="30" spans="1:7" ht="26.25" x14ac:dyDescent="0.25">
      <c r="A30" s="3" t="s">
        <v>188</v>
      </c>
      <c r="B30" s="2"/>
      <c r="C30" s="2"/>
      <c r="D30" s="2"/>
      <c r="E30" s="2"/>
    </row>
    <row r="31" spans="1:7" x14ac:dyDescent="0.25">
      <c r="A31" s="4" t="s">
        <v>189</v>
      </c>
      <c r="B31" s="2"/>
      <c r="C31" s="2"/>
      <c r="D31" s="2"/>
      <c r="E31" s="2"/>
    </row>
    <row r="32" spans="1:7" x14ac:dyDescent="0.25">
      <c r="A32" s="3" t="s">
        <v>113</v>
      </c>
      <c r="B32" s="2"/>
      <c r="C32" s="2"/>
      <c r="D32" s="2"/>
      <c r="E32" s="2"/>
    </row>
    <row r="33" spans="1:5" x14ac:dyDescent="0.25">
      <c r="A33" s="3" t="s">
        <v>114</v>
      </c>
      <c r="B33" s="2"/>
      <c r="C33" s="2"/>
      <c r="D33" s="2"/>
      <c r="E33" s="2"/>
    </row>
    <row r="34" spans="1:5" x14ac:dyDescent="0.25">
      <c r="A34" s="4" t="s">
        <v>24</v>
      </c>
      <c r="B34" s="5">
        <v>1</v>
      </c>
      <c r="C34" s="5">
        <v>1</v>
      </c>
      <c r="D34" s="5">
        <v>1</v>
      </c>
      <c r="E34" s="2"/>
    </row>
    <row r="35" spans="1:5" x14ac:dyDescent="0.25">
      <c r="A35" s="3" t="s">
        <v>190</v>
      </c>
      <c r="B35" s="2"/>
      <c r="C35" s="2"/>
      <c r="D35" s="2"/>
      <c r="E35" s="2"/>
    </row>
    <row r="36" spans="1:5" x14ac:dyDescent="0.25">
      <c r="A36" s="4" t="s">
        <v>115</v>
      </c>
      <c r="B36" s="2"/>
      <c r="C36" s="5">
        <v>1</v>
      </c>
      <c r="D36" s="2"/>
      <c r="E36" s="2"/>
    </row>
    <row r="37" spans="1:5" ht="26.25" x14ac:dyDescent="0.25">
      <c r="A37" s="4" t="s">
        <v>191</v>
      </c>
      <c r="B37" s="2"/>
      <c r="C37" s="5">
        <v>1</v>
      </c>
      <c r="D37" s="5">
        <v>1</v>
      </c>
      <c r="E37" s="2"/>
    </row>
    <row r="38" spans="1:5" x14ac:dyDescent="0.25">
      <c r="A38" s="3" t="s">
        <v>116</v>
      </c>
      <c r="B38" s="2"/>
      <c r="C38" s="2"/>
      <c r="D38" s="2"/>
      <c r="E38" s="2"/>
    </row>
    <row r="39" spans="1:5" x14ac:dyDescent="0.25">
      <c r="A39" s="4" t="s">
        <v>117</v>
      </c>
      <c r="B39" s="2"/>
      <c r="C39" s="2"/>
      <c r="D39" s="2"/>
      <c r="E39" s="2"/>
    </row>
    <row r="40" spans="1:5" x14ac:dyDescent="0.25">
      <c r="A40" s="3" t="s">
        <v>544</v>
      </c>
      <c r="B40" s="5">
        <v>1</v>
      </c>
      <c r="C40" s="5">
        <v>1</v>
      </c>
      <c r="D40" s="2"/>
      <c r="E40" s="2"/>
    </row>
    <row r="41" spans="1:5" ht="26.25" x14ac:dyDescent="0.25">
      <c r="A41" s="3" t="s">
        <v>119</v>
      </c>
      <c r="B41" s="2"/>
      <c r="C41" s="2"/>
      <c r="D41" s="2"/>
      <c r="E41" s="2"/>
    </row>
    <row r="42" spans="1:5" x14ac:dyDescent="0.25">
      <c r="A42" s="3" t="s">
        <v>120</v>
      </c>
      <c r="B42" s="5">
        <v>1</v>
      </c>
      <c r="C42" s="5">
        <v>1</v>
      </c>
      <c r="D42" s="2"/>
      <c r="E42" s="2"/>
    </row>
    <row r="43" spans="1:5" x14ac:dyDescent="0.25">
      <c r="A43" s="3" t="s">
        <v>121</v>
      </c>
      <c r="B43" s="2"/>
      <c r="C43" s="5">
        <v>1</v>
      </c>
      <c r="D43" s="2"/>
      <c r="E43" s="2"/>
    </row>
    <row r="44" spans="1:5" x14ac:dyDescent="0.25">
      <c r="A44" s="3" t="s">
        <v>192</v>
      </c>
      <c r="B44" s="2"/>
      <c r="C44" s="5">
        <v>1</v>
      </c>
      <c r="D44" s="2"/>
      <c r="E44" s="2"/>
    </row>
    <row r="45" spans="1:5" x14ac:dyDescent="0.25">
      <c r="A45" s="3" t="s">
        <v>193</v>
      </c>
      <c r="B45" s="2"/>
      <c r="C45" s="5">
        <v>1</v>
      </c>
      <c r="D45" s="2"/>
      <c r="E45" s="2"/>
    </row>
    <row r="46" spans="1:5" x14ac:dyDescent="0.25">
      <c r="A46" s="3" t="s">
        <v>122</v>
      </c>
      <c r="B46" s="5">
        <v>1</v>
      </c>
      <c r="C46" s="5">
        <v>1</v>
      </c>
      <c r="D46" s="2"/>
      <c r="E46" s="2"/>
    </row>
    <row r="47" spans="1:5" x14ac:dyDescent="0.25">
      <c r="A47" s="3" t="s">
        <v>123</v>
      </c>
      <c r="B47" s="2"/>
      <c r="C47" s="2"/>
      <c r="D47" s="2"/>
      <c r="E47" s="2"/>
    </row>
    <row r="48" spans="1:5" x14ac:dyDescent="0.25">
      <c r="A48" s="4" t="s">
        <v>124</v>
      </c>
      <c r="B48" s="2"/>
      <c r="C48" s="2"/>
      <c r="D48" s="2"/>
      <c r="E48" s="2"/>
    </row>
    <row r="49" spans="1:5" x14ac:dyDescent="0.25">
      <c r="A49" s="3" t="s">
        <v>125</v>
      </c>
      <c r="B49" s="2"/>
      <c r="C49" s="2"/>
      <c r="D49" s="2"/>
      <c r="E49" s="2"/>
    </row>
    <row r="50" spans="1:5" x14ac:dyDescent="0.25">
      <c r="A50" s="3" t="s">
        <v>126</v>
      </c>
      <c r="B50" s="5">
        <v>1</v>
      </c>
      <c r="C50" s="5">
        <v>1</v>
      </c>
      <c r="D50" s="5">
        <v>1</v>
      </c>
      <c r="E50" s="2"/>
    </row>
    <row r="51" spans="1:5" x14ac:dyDescent="0.25">
      <c r="A51" s="7" t="s">
        <v>127</v>
      </c>
      <c r="B51" s="2"/>
      <c r="C51" s="5">
        <v>1</v>
      </c>
      <c r="D51" s="2"/>
      <c r="E51" s="2"/>
    </row>
    <row r="52" spans="1:5" x14ac:dyDescent="0.25">
      <c r="A52" s="4" t="s">
        <v>128</v>
      </c>
      <c r="B52" s="5">
        <v>1</v>
      </c>
      <c r="C52" s="5">
        <v>1</v>
      </c>
      <c r="D52" s="5">
        <v>1</v>
      </c>
      <c r="E52" s="2"/>
    </row>
    <row r="53" spans="1:5" x14ac:dyDescent="0.25">
      <c r="A53" s="3" t="s">
        <v>129</v>
      </c>
      <c r="B53" s="2"/>
      <c r="C53" s="2"/>
      <c r="D53" s="2"/>
      <c r="E53" s="2"/>
    </row>
    <row r="54" spans="1:5" x14ac:dyDescent="0.25">
      <c r="A54" s="3" t="s">
        <v>130</v>
      </c>
      <c r="B54" s="5">
        <v>1</v>
      </c>
      <c r="C54" s="5">
        <v>1</v>
      </c>
      <c r="D54" s="2"/>
      <c r="E54" s="2"/>
    </row>
    <row r="55" spans="1:5" x14ac:dyDescent="0.25">
      <c r="A55" s="4" t="s">
        <v>194</v>
      </c>
      <c r="B55" s="2"/>
      <c r="C55" s="2"/>
      <c r="D55" s="2"/>
      <c r="E55" s="2"/>
    </row>
    <row r="56" spans="1:5" x14ac:dyDescent="0.25">
      <c r="A56" s="3" t="s">
        <v>195</v>
      </c>
      <c r="B56" s="2"/>
      <c r="C56" s="2"/>
      <c r="D56" s="2"/>
      <c r="E56" s="2"/>
    </row>
    <row r="57" spans="1:5" x14ac:dyDescent="0.25">
      <c r="A57" s="3" t="s">
        <v>131</v>
      </c>
      <c r="B57" s="2"/>
      <c r="C57" s="2"/>
      <c r="D57" s="2"/>
      <c r="E57" s="2"/>
    </row>
    <row r="58" spans="1:5" x14ac:dyDescent="0.25">
      <c r="A58" s="3" t="s">
        <v>196</v>
      </c>
      <c r="B58" s="2"/>
      <c r="C58" s="2"/>
      <c r="D58" s="2"/>
      <c r="E58" s="2"/>
    </row>
    <row r="59" spans="1:5" x14ac:dyDescent="0.25">
      <c r="A59" s="4" t="s">
        <v>132</v>
      </c>
      <c r="B59" s="5">
        <v>1</v>
      </c>
      <c r="C59" s="5">
        <v>1</v>
      </c>
      <c r="D59" s="2"/>
      <c r="E59" s="2"/>
    </row>
    <row r="60" spans="1:5" x14ac:dyDescent="0.25">
      <c r="A60" s="4" t="s">
        <v>133</v>
      </c>
      <c r="B60" s="2"/>
      <c r="C60" s="2"/>
      <c r="D60" s="2"/>
      <c r="E60" s="2"/>
    </row>
    <row r="61" spans="1:5" x14ac:dyDescent="0.25">
      <c r="A61" s="3" t="s">
        <v>134</v>
      </c>
      <c r="B61" s="2"/>
      <c r="C61" s="2"/>
      <c r="D61" s="2"/>
      <c r="E61" s="2"/>
    </row>
    <row r="62" spans="1:5" ht="26.25" x14ac:dyDescent="0.25">
      <c r="A62" s="3" t="s">
        <v>135</v>
      </c>
      <c r="B62" s="5">
        <v>1</v>
      </c>
      <c r="C62" s="2"/>
      <c r="D62" s="2"/>
      <c r="E62" s="2"/>
    </row>
    <row r="63" spans="1:5" ht="39" x14ac:dyDescent="0.25">
      <c r="A63" s="3" t="s">
        <v>136</v>
      </c>
      <c r="B63" s="2"/>
      <c r="C63" s="2"/>
      <c r="D63" s="5">
        <v>1</v>
      </c>
      <c r="E63" s="2"/>
    </row>
    <row r="64" spans="1:5" x14ac:dyDescent="0.25">
      <c r="A64" s="3" t="s">
        <v>137</v>
      </c>
      <c r="B64" s="2"/>
      <c r="C64" s="2"/>
      <c r="D64" s="2"/>
      <c r="E64" s="2"/>
    </row>
    <row r="65" spans="1:5" ht="26.25" x14ac:dyDescent="0.25">
      <c r="A65" s="3" t="s">
        <v>197</v>
      </c>
      <c r="B65" s="2"/>
      <c r="C65" s="5">
        <v>1</v>
      </c>
      <c r="D65" s="5">
        <v>1</v>
      </c>
      <c r="E65" s="2"/>
    </row>
    <row r="66" spans="1:5" x14ac:dyDescent="0.25">
      <c r="A66" s="4" t="s">
        <v>138</v>
      </c>
      <c r="B66" s="5">
        <v>1</v>
      </c>
      <c r="C66" s="5">
        <v>1</v>
      </c>
      <c r="D66" s="2"/>
      <c r="E66" s="2"/>
    </row>
    <row r="67" spans="1:5" x14ac:dyDescent="0.25">
      <c r="A67" s="4" t="s">
        <v>198</v>
      </c>
      <c r="B67" s="2"/>
      <c r="C67" s="2"/>
      <c r="D67" s="2"/>
      <c r="E67" s="2"/>
    </row>
    <row r="68" spans="1:5" ht="26.25" x14ac:dyDescent="0.25">
      <c r="A68" s="3" t="s">
        <v>139</v>
      </c>
      <c r="B68" s="2"/>
      <c r="C68" s="2"/>
      <c r="D68" s="2"/>
      <c r="E68" s="2"/>
    </row>
    <row r="69" spans="1:5" x14ac:dyDescent="0.25">
      <c r="A69" s="3" t="s">
        <v>199</v>
      </c>
      <c r="B69" s="2"/>
      <c r="C69" s="2"/>
      <c r="D69" s="2"/>
      <c r="E69" s="2"/>
    </row>
    <row r="70" spans="1:5" x14ac:dyDescent="0.25">
      <c r="A70" s="9" t="s">
        <v>140</v>
      </c>
      <c r="B70" s="5">
        <v>1</v>
      </c>
      <c r="C70" s="5">
        <v>1</v>
      </c>
      <c r="D70" s="2"/>
      <c r="E70" s="2"/>
    </row>
    <row r="71" spans="1:5" ht="26.25" x14ac:dyDescent="0.25">
      <c r="A71" s="4" t="s">
        <v>78</v>
      </c>
      <c r="B71" s="2"/>
      <c r="C71" s="2"/>
      <c r="D71" s="2"/>
      <c r="E71" s="2"/>
    </row>
    <row r="72" spans="1:5" x14ac:dyDescent="0.25">
      <c r="A72" s="3" t="s">
        <v>141</v>
      </c>
      <c r="B72" s="2"/>
      <c r="C72" s="2"/>
      <c r="D72" s="2"/>
      <c r="E72" s="2"/>
    </row>
    <row r="73" spans="1:5" x14ac:dyDescent="0.25">
      <c r="A73" s="3" t="s">
        <v>142</v>
      </c>
      <c r="B73" s="5">
        <v>1</v>
      </c>
      <c r="C73" s="5">
        <v>1</v>
      </c>
      <c r="D73" s="2"/>
      <c r="E73" s="2"/>
    </row>
    <row r="74" spans="1:5" x14ac:dyDescent="0.25">
      <c r="A74" s="4" t="s">
        <v>200</v>
      </c>
      <c r="B74" s="2"/>
      <c r="C74" s="5">
        <v>1</v>
      </c>
      <c r="D74" s="2"/>
      <c r="E74" s="2"/>
    </row>
    <row r="75" spans="1:5" x14ac:dyDescent="0.25">
      <c r="A75" s="4" t="s">
        <v>143</v>
      </c>
      <c r="B75" s="2"/>
      <c r="C75" s="5">
        <v>1</v>
      </c>
      <c r="D75" s="2"/>
      <c r="E75" s="2"/>
    </row>
    <row r="76" spans="1:5" x14ac:dyDescent="0.25">
      <c r="A76" s="3" t="s">
        <v>144</v>
      </c>
      <c r="B76" s="2"/>
      <c r="C76" s="2"/>
      <c r="D76" s="2"/>
      <c r="E76" s="2"/>
    </row>
    <row r="77" spans="1:5" x14ac:dyDescent="0.25">
      <c r="A77" s="4" t="s">
        <v>145</v>
      </c>
      <c r="B77" s="2"/>
      <c r="C77" s="2"/>
      <c r="D77" s="2"/>
      <c r="E77" s="2"/>
    </row>
    <row r="78" spans="1:5" x14ac:dyDescent="0.25">
      <c r="A78" s="9" t="s">
        <v>146</v>
      </c>
      <c r="B78" s="5">
        <v>1</v>
      </c>
      <c r="C78" s="5">
        <v>1</v>
      </c>
      <c r="D78" s="2"/>
      <c r="E78" s="2"/>
    </row>
    <row r="79" spans="1:5" x14ac:dyDescent="0.25">
      <c r="A79" s="4" t="s">
        <v>147</v>
      </c>
      <c r="B79" s="2"/>
      <c r="C79" s="2"/>
      <c r="D79" s="2"/>
      <c r="E79" s="2"/>
    </row>
    <row r="80" spans="1:5" x14ac:dyDescent="0.25">
      <c r="A80" s="3" t="s">
        <v>148</v>
      </c>
      <c r="B80" s="5">
        <v>1</v>
      </c>
      <c r="C80" s="5">
        <v>1</v>
      </c>
      <c r="D80" s="2"/>
      <c r="E80" s="2"/>
    </row>
    <row r="81" spans="1:5" ht="26.25" x14ac:dyDescent="0.25">
      <c r="A81" s="4" t="s">
        <v>201</v>
      </c>
      <c r="B81" s="2"/>
      <c r="C81" s="5">
        <v>1</v>
      </c>
      <c r="D81" s="2"/>
      <c r="E81" s="2"/>
    </row>
    <row r="82" spans="1:5" x14ac:dyDescent="0.25">
      <c r="A82" s="7" t="s">
        <v>149</v>
      </c>
      <c r="B82" s="5">
        <v>1</v>
      </c>
      <c r="C82" s="5">
        <v>1</v>
      </c>
      <c r="D82" s="2"/>
      <c r="E82" s="2"/>
    </row>
    <row r="83" spans="1:5" x14ac:dyDescent="0.25">
      <c r="A83" s="4" t="s">
        <v>150</v>
      </c>
      <c r="B83" s="5">
        <v>1</v>
      </c>
      <c r="C83" s="5">
        <v>1</v>
      </c>
      <c r="D83" s="5">
        <v>1</v>
      </c>
      <c r="E83" s="2"/>
    </row>
    <row r="84" spans="1:5" x14ac:dyDescent="0.25">
      <c r="A84" s="3" t="s">
        <v>151</v>
      </c>
      <c r="B84" s="2"/>
      <c r="C84" s="5">
        <v>1</v>
      </c>
      <c r="D84" s="2"/>
      <c r="E84" s="2"/>
    </row>
    <row r="85" spans="1:5" x14ac:dyDescent="0.25">
      <c r="A85" s="3" t="s">
        <v>152</v>
      </c>
      <c r="B85" s="2"/>
      <c r="C85" s="2"/>
      <c r="D85" s="2"/>
      <c r="E85" s="2"/>
    </row>
    <row r="86" spans="1:5" x14ac:dyDescent="0.25">
      <c r="A86" s="3" t="s">
        <v>153</v>
      </c>
      <c r="B86" s="5">
        <v>1</v>
      </c>
      <c r="C86" s="2"/>
      <c r="D86" s="2"/>
      <c r="E86" s="2"/>
    </row>
    <row r="87" spans="1:5" x14ac:dyDescent="0.25">
      <c r="A87" s="3" t="s">
        <v>202</v>
      </c>
      <c r="B87" s="2"/>
      <c r="C87" s="2"/>
      <c r="D87" s="2"/>
      <c r="E87" s="2"/>
    </row>
    <row r="88" spans="1:5" x14ac:dyDescent="0.25">
      <c r="A88" s="7" t="s">
        <v>154</v>
      </c>
      <c r="B88" s="5">
        <v>1</v>
      </c>
      <c r="C88" s="5">
        <v>1</v>
      </c>
      <c r="D88" s="5">
        <v>1</v>
      </c>
      <c r="E88" s="2"/>
    </row>
    <row r="89" spans="1:5" x14ac:dyDescent="0.25">
      <c r="A89" s="3" t="s">
        <v>203</v>
      </c>
      <c r="B89" s="2"/>
      <c r="C89" s="5">
        <v>1</v>
      </c>
      <c r="D89" s="2"/>
      <c r="E89" s="2"/>
    </row>
    <row r="90" spans="1:5" x14ac:dyDescent="0.25">
      <c r="A90" s="4" t="s">
        <v>155</v>
      </c>
      <c r="B90" s="2"/>
      <c r="C90" s="5">
        <v>1</v>
      </c>
      <c r="D90" s="5">
        <v>1</v>
      </c>
      <c r="E90" s="2">
        <v>1</v>
      </c>
    </row>
    <row r="91" spans="1:5" x14ac:dyDescent="0.25">
      <c r="A91" s="4" t="s">
        <v>156</v>
      </c>
      <c r="B91" s="5">
        <v>1</v>
      </c>
      <c r="C91" s="5">
        <v>1</v>
      </c>
      <c r="D91" s="2"/>
      <c r="E91" s="2"/>
    </row>
    <row r="92" spans="1:5" x14ac:dyDescent="0.25">
      <c r="A92" s="4" t="s">
        <v>545</v>
      </c>
      <c r="B92" s="2"/>
      <c r="C92" s="2"/>
      <c r="D92" s="2"/>
      <c r="E92" s="2"/>
    </row>
    <row r="93" spans="1:5" x14ac:dyDescent="0.25">
      <c r="A93" s="6" t="s">
        <v>157</v>
      </c>
      <c r="B93" s="5">
        <v>1</v>
      </c>
      <c r="C93" s="5">
        <v>1</v>
      </c>
      <c r="D93" s="2"/>
      <c r="E93" s="2"/>
    </row>
    <row r="94" spans="1:5" x14ac:dyDescent="0.25">
      <c r="A94" s="4" t="s">
        <v>204</v>
      </c>
      <c r="B94" s="2"/>
      <c r="C94" s="2"/>
      <c r="D94" s="2"/>
      <c r="E94" s="2"/>
    </row>
    <row r="95" spans="1:5" x14ac:dyDescent="0.25">
      <c r="A95" s="3" t="s">
        <v>158</v>
      </c>
      <c r="B95" s="2"/>
      <c r="C95" s="2"/>
      <c r="D95" s="2"/>
      <c r="E95" s="2"/>
    </row>
    <row r="96" spans="1:5" x14ac:dyDescent="0.25">
      <c r="A96" s="3" t="s">
        <v>160</v>
      </c>
      <c r="B96" s="2"/>
      <c r="C96" s="2"/>
      <c r="D96" s="2"/>
      <c r="E96" s="2"/>
    </row>
    <row r="97" spans="1:5" x14ac:dyDescent="0.25">
      <c r="A97" s="3" t="s">
        <v>161</v>
      </c>
      <c r="B97" s="2"/>
      <c r="C97" s="2"/>
      <c r="D97" s="2"/>
      <c r="E97" s="2"/>
    </row>
    <row r="98" spans="1:5" x14ac:dyDescent="0.25">
      <c r="A98" s="3" t="s">
        <v>162</v>
      </c>
      <c r="B98" s="2"/>
      <c r="C98" s="2"/>
      <c r="D98" s="2"/>
      <c r="E98" s="2"/>
    </row>
    <row r="99" spans="1:5" x14ac:dyDescent="0.25">
      <c r="A99" s="4" t="s">
        <v>91</v>
      </c>
      <c r="B99" s="2"/>
      <c r="C99" s="2"/>
      <c r="D99" s="2"/>
      <c r="E99" s="2"/>
    </row>
    <row r="100" spans="1:5" ht="26.25" x14ac:dyDescent="0.25">
      <c r="A100" s="3" t="s">
        <v>205</v>
      </c>
      <c r="B100" s="2"/>
      <c r="C100" s="5">
        <v>1</v>
      </c>
      <c r="D100" s="5">
        <v>1</v>
      </c>
      <c r="E100" s="2"/>
    </row>
    <row r="101" spans="1:5" x14ac:dyDescent="0.25">
      <c r="A101" s="3" t="s">
        <v>163</v>
      </c>
      <c r="B101" s="5">
        <v>1</v>
      </c>
      <c r="C101" s="5">
        <v>1</v>
      </c>
      <c r="D101" s="2"/>
      <c r="E101" s="2"/>
    </row>
    <row r="102" spans="1:5" x14ac:dyDescent="0.25">
      <c r="A102" s="3" t="s">
        <v>164</v>
      </c>
      <c r="B102" s="2"/>
      <c r="C102" s="2"/>
      <c r="D102" s="2"/>
      <c r="E102" s="2"/>
    </row>
    <row r="103" spans="1:5" ht="26.25" x14ac:dyDescent="0.25">
      <c r="A103" s="4" t="s">
        <v>94</v>
      </c>
      <c r="B103" s="2"/>
      <c r="C103" s="2"/>
      <c r="D103" s="2"/>
      <c r="E103" s="2"/>
    </row>
    <row r="104" spans="1:5" x14ac:dyDescent="0.25">
      <c r="A104" s="3" t="s">
        <v>165</v>
      </c>
      <c r="B104" s="5">
        <v>1</v>
      </c>
      <c r="C104" s="5">
        <v>1</v>
      </c>
      <c r="D104" s="2"/>
      <c r="E104" s="2"/>
    </row>
    <row r="105" spans="1:5" x14ac:dyDescent="0.25">
      <c r="A105" s="3" t="s">
        <v>166</v>
      </c>
      <c r="B105" s="2"/>
      <c r="C105" s="2"/>
      <c r="D105" s="2"/>
      <c r="E105" s="2"/>
    </row>
    <row r="106" spans="1:5" x14ac:dyDescent="0.25">
      <c r="A106" s="3" t="s">
        <v>730</v>
      </c>
      <c r="B106" s="5">
        <v>1</v>
      </c>
      <c r="C106" s="5">
        <v>1</v>
      </c>
      <c r="D106" s="5">
        <v>1</v>
      </c>
      <c r="E106" s="2">
        <v>1</v>
      </c>
    </row>
    <row r="107" spans="1:5" x14ac:dyDescent="0.25">
      <c r="A107" s="3" t="s">
        <v>167</v>
      </c>
      <c r="B107" s="5">
        <v>1</v>
      </c>
      <c r="C107" s="5">
        <v>1</v>
      </c>
      <c r="D107" s="2"/>
      <c r="E107" s="2"/>
    </row>
    <row r="108" spans="1:5" x14ac:dyDescent="0.25">
      <c r="A108" s="3" t="s">
        <v>168</v>
      </c>
      <c r="B108" s="2"/>
      <c r="C108" s="2"/>
      <c r="D108" s="2"/>
      <c r="E108" s="2"/>
    </row>
    <row r="109" spans="1:5" x14ac:dyDescent="0.25">
      <c r="A109" s="3" t="s">
        <v>169</v>
      </c>
      <c r="B109" s="5">
        <v>1</v>
      </c>
      <c r="C109" s="5">
        <v>1</v>
      </c>
      <c r="D109" s="2"/>
      <c r="E109" s="2"/>
    </row>
    <row r="110" spans="1:5" x14ac:dyDescent="0.25">
      <c r="A110" s="9" t="s">
        <v>46</v>
      </c>
      <c r="B110" s="2"/>
      <c r="C110" s="2"/>
      <c r="D110" s="2"/>
      <c r="E110" s="2"/>
    </row>
    <row r="111" spans="1:5" x14ac:dyDescent="0.25">
      <c r="A111" s="3" t="s">
        <v>170</v>
      </c>
      <c r="B111" s="2"/>
      <c r="C111" s="2"/>
      <c r="D111" s="2"/>
      <c r="E111" s="2"/>
    </row>
    <row r="112" spans="1:5" x14ac:dyDescent="0.25">
      <c r="A112" s="3" t="s">
        <v>171</v>
      </c>
      <c r="B112" s="5">
        <v>1</v>
      </c>
      <c r="C112" s="5">
        <v>1</v>
      </c>
      <c r="D112" s="2"/>
      <c r="E112" s="2"/>
    </row>
    <row r="113" spans="1:5" x14ac:dyDescent="0.25">
      <c r="A113" s="3" t="s">
        <v>171</v>
      </c>
      <c r="B113" s="5">
        <v>1</v>
      </c>
      <c r="C113" s="5">
        <v>1</v>
      </c>
      <c r="D113" s="2"/>
      <c r="E113" s="2"/>
    </row>
    <row r="114" spans="1:5" x14ac:dyDescent="0.25">
      <c r="A114" s="4" t="s">
        <v>172</v>
      </c>
      <c r="B114" s="5">
        <v>1</v>
      </c>
      <c r="C114" s="5">
        <v>1</v>
      </c>
      <c r="D114" s="5">
        <v>1</v>
      </c>
      <c r="E114" s="2"/>
    </row>
    <row r="115" spans="1:5" x14ac:dyDescent="0.25">
      <c r="A115" s="3" t="s">
        <v>173</v>
      </c>
      <c r="B115" s="2"/>
      <c r="C115" s="2"/>
      <c r="D115" s="2"/>
      <c r="E115" s="2"/>
    </row>
    <row r="116" spans="1:5" ht="26.25" x14ac:dyDescent="0.25">
      <c r="A116" s="3" t="s">
        <v>206</v>
      </c>
      <c r="B116" s="2"/>
      <c r="C116" s="2"/>
      <c r="D116" s="2"/>
      <c r="E116" s="2"/>
    </row>
    <row r="117" spans="1:5" ht="26.25" x14ac:dyDescent="0.25">
      <c r="A117" s="3" t="s">
        <v>206</v>
      </c>
      <c r="B117" s="2"/>
      <c r="C117" s="2"/>
      <c r="D117" s="2"/>
      <c r="E117" s="2"/>
    </row>
    <row r="118" spans="1:5" x14ac:dyDescent="0.25">
      <c r="A118" s="4" t="s">
        <v>207</v>
      </c>
      <c r="B118" s="2"/>
      <c r="C118" s="2"/>
      <c r="D118" s="2"/>
      <c r="E118" s="2"/>
    </row>
    <row r="119" spans="1:5" x14ac:dyDescent="0.25">
      <c r="A119" s="3" t="s">
        <v>174</v>
      </c>
      <c r="B119" s="5">
        <v>1</v>
      </c>
      <c r="C119" s="5">
        <v>1</v>
      </c>
      <c r="D119" s="2"/>
      <c r="E119" s="2"/>
    </row>
    <row r="120" spans="1:5" x14ac:dyDescent="0.25">
      <c r="A120" s="4" t="s">
        <v>175</v>
      </c>
      <c r="B120" s="2"/>
      <c r="C120" s="2"/>
      <c r="D120" s="2"/>
      <c r="E120" s="2"/>
    </row>
    <row r="121" spans="1:5" x14ac:dyDescent="0.25">
      <c r="A121" s="3" t="s">
        <v>176</v>
      </c>
      <c r="B121" s="2"/>
      <c r="C121" s="2"/>
      <c r="D121" s="2"/>
      <c r="E121" s="2"/>
    </row>
    <row r="122" spans="1:5" x14ac:dyDescent="0.25">
      <c r="A122" s="3" t="s">
        <v>208</v>
      </c>
      <c r="B122" s="2"/>
      <c r="C122" s="2"/>
      <c r="D122" s="2"/>
      <c r="E122" s="2"/>
    </row>
    <row r="123" spans="1:5" x14ac:dyDescent="0.25">
      <c r="A123" s="3" t="s">
        <v>209</v>
      </c>
      <c r="B123" s="2"/>
      <c r="C123" s="5">
        <v>1</v>
      </c>
      <c r="D123" s="5">
        <v>1</v>
      </c>
      <c r="E123" s="2"/>
    </row>
    <row r="124" spans="1:5" ht="26.25" x14ac:dyDescent="0.25">
      <c r="A124" s="4" t="s">
        <v>210</v>
      </c>
      <c r="B124" s="2"/>
      <c r="C124" s="5">
        <v>1</v>
      </c>
      <c r="D124" s="2"/>
      <c r="E124" s="2"/>
    </row>
    <row r="125" spans="1:5" x14ac:dyDescent="0.25">
      <c r="A125" s="3" t="s">
        <v>177</v>
      </c>
      <c r="B125" s="5">
        <v>1</v>
      </c>
      <c r="C125" s="5">
        <v>1</v>
      </c>
      <c r="D125" s="2"/>
      <c r="E125" s="2"/>
    </row>
  </sheetData>
  <autoFilter ref="A1:D125" xr:uid="{6522A643-2E06-4443-8F14-96106B812DC7}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FCBB-A0DB-479F-9B77-76BF4A2D2A0F}">
  <dimension ref="A1:J196"/>
  <sheetViews>
    <sheetView workbookViewId="0">
      <selection activeCell="B6" sqref="B6"/>
    </sheetView>
  </sheetViews>
  <sheetFormatPr defaultRowHeight="15" x14ac:dyDescent="0.25"/>
  <cols>
    <col min="1" max="1" width="30.7109375" style="45" customWidth="1"/>
    <col min="2" max="2" width="11" customWidth="1"/>
    <col min="3" max="3" width="13.28515625" bestFit="1" customWidth="1"/>
    <col min="4" max="4" width="12.85546875" bestFit="1" customWidth="1"/>
    <col min="5" max="5" width="17.85546875" customWidth="1"/>
    <col min="7" max="7" width="15" bestFit="1" customWidth="1"/>
    <col min="8" max="8" width="22.85546875" bestFit="1" customWidth="1"/>
    <col min="9" max="9" width="22.5703125" bestFit="1" customWidth="1"/>
    <col min="10" max="10" width="21.5703125" bestFit="1" customWidth="1"/>
  </cols>
  <sheetData>
    <row r="1" spans="1:10" x14ac:dyDescent="0.25">
      <c r="A1" s="96" t="s">
        <v>52</v>
      </c>
      <c r="B1" s="94" t="s">
        <v>211</v>
      </c>
      <c r="C1" s="94" t="s">
        <v>0</v>
      </c>
      <c r="D1" s="94" t="s">
        <v>1</v>
      </c>
      <c r="E1" s="94" t="s">
        <v>642</v>
      </c>
      <c r="G1" s="2" t="s">
        <v>354</v>
      </c>
      <c r="H1" s="2" t="s">
        <v>355</v>
      </c>
      <c r="I1" s="2" t="s">
        <v>356</v>
      </c>
      <c r="J1" s="2" t="s">
        <v>644</v>
      </c>
    </row>
    <row r="2" spans="1:10" x14ac:dyDescent="0.25">
      <c r="A2" s="44" t="s">
        <v>2</v>
      </c>
      <c r="B2" s="46">
        <v>1</v>
      </c>
      <c r="C2" s="46">
        <v>1</v>
      </c>
      <c r="D2" s="46"/>
      <c r="E2" s="2"/>
      <c r="G2" s="97">
        <v>67</v>
      </c>
      <c r="H2" s="97">
        <v>60</v>
      </c>
      <c r="I2" s="97">
        <v>18</v>
      </c>
      <c r="J2" s="97">
        <v>1</v>
      </c>
    </row>
    <row r="3" spans="1:10" x14ac:dyDescent="0.25">
      <c r="A3" s="47" t="s">
        <v>53</v>
      </c>
      <c r="B3" s="46"/>
      <c r="C3" s="46"/>
      <c r="D3" s="46"/>
      <c r="E3" s="2"/>
    </row>
    <row r="4" spans="1:10" x14ac:dyDescent="0.25">
      <c r="A4" s="44" t="s">
        <v>54</v>
      </c>
      <c r="B4" s="46"/>
      <c r="C4" s="46">
        <v>1</v>
      </c>
      <c r="D4" s="46"/>
      <c r="E4" s="2"/>
    </row>
    <row r="5" spans="1:10" x14ac:dyDescent="0.25">
      <c r="A5" s="10" t="s">
        <v>734</v>
      </c>
      <c r="B5" s="46">
        <v>1</v>
      </c>
      <c r="C5" s="46">
        <v>1</v>
      </c>
      <c r="D5" s="46"/>
      <c r="E5" s="2"/>
    </row>
    <row r="6" spans="1:10" x14ac:dyDescent="0.25">
      <c r="A6" s="44" t="s">
        <v>3</v>
      </c>
      <c r="B6" s="46"/>
      <c r="C6" s="46"/>
      <c r="D6" s="46"/>
      <c r="E6" s="2"/>
    </row>
    <row r="7" spans="1:10" x14ac:dyDescent="0.25">
      <c r="A7" s="11" t="s">
        <v>425</v>
      </c>
      <c r="B7" s="46"/>
      <c r="C7" s="46">
        <v>1</v>
      </c>
      <c r="D7" s="46"/>
      <c r="E7" s="2"/>
    </row>
    <row r="8" spans="1:10" x14ac:dyDescent="0.25">
      <c r="A8" s="10" t="s">
        <v>735</v>
      </c>
      <c r="B8" s="46">
        <v>1</v>
      </c>
      <c r="C8" s="46">
        <v>1</v>
      </c>
      <c r="D8" s="46"/>
      <c r="E8" s="2"/>
    </row>
    <row r="9" spans="1:10" x14ac:dyDescent="0.25">
      <c r="A9" s="44" t="s">
        <v>4</v>
      </c>
      <c r="B9" s="46">
        <v>1</v>
      </c>
      <c r="C9" s="46">
        <v>1</v>
      </c>
      <c r="D9" s="46"/>
      <c r="E9" s="2"/>
    </row>
    <row r="10" spans="1:10" x14ac:dyDescent="0.25">
      <c r="A10" s="44" t="s">
        <v>5</v>
      </c>
      <c r="B10" s="46">
        <v>1</v>
      </c>
      <c r="C10" s="46">
        <v>1</v>
      </c>
      <c r="D10" s="46"/>
      <c r="E10" s="2"/>
    </row>
    <row r="11" spans="1:10" x14ac:dyDescent="0.25">
      <c r="A11" s="10" t="s">
        <v>736</v>
      </c>
      <c r="B11" s="46"/>
      <c r="C11" s="46">
        <v>1</v>
      </c>
      <c r="D11" s="46"/>
      <c r="E11" s="2"/>
    </row>
    <row r="12" spans="1:10" x14ac:dyDescent="0.25">
      <c r="A12" s="47" t="s">
        <v>55</v>
      </c>
      <c r="B12" s="46">
        <v>1</v>
      </c>
      <c r="C12" s="46"/>
      <c r="D12" s="46"/>
      <c r="E12" s="2"/>
    </row>
    <row r="13" spans="1:10" x14ac:dyDescent="0.25">
      <c r="A13" s="44" t="s">
        <v>56</v>
      </c>
      <c r="B13" s="46"/>
      <c r="C13" s="46"/>
      <c r="D13" s="46"/>
      <c r="E13" s="2"/>
    </row>
    <row r="14" spans="1:10" x14ac:dyDescent="0.25">
      <c r="A14" s="44" t="s">
        <v>6</v>
      </c>
      <c r="B14" s="46"/>
      <c r="C14" s="46">
        <v>1</v>
      </c>
      <c r="D14" s="46">
        <v>1</v>
      </c>
      <c r="E14" s="2"/>
    </row>
    <row r="15" spans="1:10" x14ac:dyDescent="0.25">
      <c r="A15" s="48" t="s">
        <v>57</v>
      </c>
      <c r="B15" s="46"/>
      <c r="C15" s="46"/>
      <c r="D15" s="46"/>
      <c r="E15" s="2"/>
    </row>
    <row r="16" spans="1:10" x14ac:dyDescent="0.25">
      <c r="A16" s="47" t="s">
        <v>7</v>
      </c>
      <c r="B16" s="46"/>
      <c r="C16" s="46">
        <v>1</v>
      </c>
      <c r="D16" s="46">
        <v>1</v>
      </c>
      <c r="E16" s="2"/>
    </row>
    <row r="17" spans="1:5" x14ac:dyDescent="0.25">
      <c r="A17" s="11" t="s">
        <v>737</v>
      </c>
      <c r="B17" s="46"/>
      <c r="C17" s="46"/>
      <c r="D17" s="46"/>
      <c r="E17" s="2"/>
    </row>
    <row r="18" spans="1:5" x14ac:dyDescent="0.25">
      <c r="A18" s="15" t="s">
        <v>738</v>
      </c>
      <c r="B18" s="46">
        <v>1</v>
      </c>
      <c r="C18" s="46"/>
      <c r="D18" s="46"/>
      <c r="E18" s="2"/>
    </row>
    <row r="19" spans="1:5" x14ac:dyDescent="0.25">
      <c r="A19" s="44" t="s">
        <v>8</v>
      </c>
      <c r="B19" s="46">
        <v>1</v>
      </c>
      <c r="C19" s="46">
        <v>1</v>
      </c>
      <c r="D19" s="46"/>
      <c r="E19" s="2"/>
    </row>
    <row r="20" spans="1:5" x14ac:dyDescent="0.25">
      <c r="A20" s="10" t="s">
        <v>739</v>
      </c>
      <c r="B20" s="46"/>
      <c r="C20" s="46"/>
      <c r="D20" s="46"/>
      <c r="E20" s="2"/>
    </row>
    <row r="21" spans="1:5" x14ac:dyDescent="0.25">
      <c r="A21" s="44" t="s">
        <v>9</v>
      </c>
      <c r="B21" s="46">
        <v>1</v>
      </c>
      <c r="C21" s="46">
        <v>1</v>
      </c>
      <c r="D21" s="46"/>
      <c r="E21" s="2"/>
    </row>
    <row r="22" spans="1:5" x14ac:dyDescent="0.25">
      <c r="A22" s="44" t="s">
        <v>10</v>
      </c>
      <c r="B22" s="46">
        <v>1</v>
      </c>
      <c r="C22" s="46">
        <v>1</v>
      </c>
      <c r="D22" s="46"/>
      <c r="E22" s="2"/>
    </row>
    <row r="23" spans="1:5" ht="29.25" x14ac:dyDescent="0.25">
      <c r="A23" s="44" t="s">
        <v>11</v>
      </c>
      <c r="B23" s="46">
        <v>1</v>
      </c>
      <c r="C23" s="46">
        <v>1</v>
      </c>
      <c r="D23" s="46"/>
      <c r="E23" s="2"/>
    </row>
    <row r="24" spans="1:5" x14ac:dyDescent="0.25">
      <c r="A24" s="15" t="s">
        <v>51</v>
      </c>
      <c r="B24" s="46">
        <v>1</v>
      </c>
      <c r="C24" s="46">
        <v>1</v>
      </c>
      <c r="D24" s="46">
        <v>1</v>
      </c>
      <c r="E24" s="2"/>
    </row>
    <row r="25" spans="1:5" x14ac:dyDescent="0.25">
      <c r="A25" s="44" t="s">
        <v>12</v>
      </c>
      <c r="B25" s="46">
        <v>1</v>
      </c>
      <c r="C25" s="46">
        <v>1</v>
      </c>
      <c r="D25" s="46">
        <v>1</v>
      </c>
      <c r="E25" s="2"/>
    </row>
    <row r="26" spans="1:5" x14ac:dyDescent="0.25">
      <c r="A26" s="10" t="s">
        <v>498</v>
      </c>
      <c r="B26" s="46">
        <v>1</v>
      </c>
      <c r="C26" s="46"/>
      <c r="D26" s="46"/>
      <c r="E26" s="2"/>
    </row>
    <row r="27" spans="1:5" x14ac:dyDescent="0.25">
      <c r="A27" s="47" t="s">
        <v>13</v>
      </c>
      <c r="B27" s="46"/>
      <c r="C27" s="46">
        <v>1</v>
      </c>
      <c r="D27" s="46"/>
      <c r="E27" s="2"/>
    </row>
    <row r="28" spans="1:5" x14ac:dyDescent="0.25">
      <c r="A28" s="10" t="s">
        <v>185</v>
      </c>
      <c r="B28" s="46">
        <v>1</v>
      </c>
      <c r="C28" s="46"/>
      <c r="D28" s="46"/>
      <c r="E28" s="2"/>
    </row>
    <row r="29" spans="1:5" x14ac:dyDescent="0.25">
      <c r="A29" s="44" t="s">
        <v>14</v>
      </c>
      <c r="B29" s="46">
        <v>1</v>
      </c>
      <c r="C29" s="46">
        <v>1</v>
      </c>
      <c r="D29" s="46"/>
      <c r="E29" s="2"/>
    </row>
    <row r="30" spans="1:5" x14ac:dyDescent="0.25">
      <c r="A30" s="44" t="s">
        <v>15</v>
      </c>
      <c r="B30" s="46">
        <v>1</v>
      </c>
      <c r="C30" s="46">
        <v>1</v>
      </c>
      <c r="D30" s="46">
        <v>1</v>
      </c>
      <c r="E30" s="2"/>
    </row>
    <row r="31" spans="1:5" x14ac:dyDescent="0.25">
      <c r="A31" s="10" t="s">
        <v>657</v>
      </c>
      <c r="B31" s="46"/>
      <c r="C31" s="46"/>
      <c r="D31" s="46"/>
      <c r="E31" s="2"/>
    </row>
    <row r="32" spans="1:5" x14ac:dyDescent="0.25">
      <c r="A32" s="44" t="s">
        <v>16</v>
      </c>
      <c r="B32" s="46">
        <v>1</v>
      </c>
      <c r="C32" s="46">
        <v>1</v>
      </c>
      <c r="D32" s="46"/>
      <c r="E32" s="2"/>
    </row>
    <row r="33" spans="1:5" x14ac:dyDescent="0.25">
      <c r="A33" s="15" t="s">
        <v>658</v>
      </c>
      <c r="B33" s="46"/>
      <c r="C33" s="46">
        <v>1</v>
      </c>
      <c r="D33" s="46"/>
      <c r="E33" s="2"/>
    </row>
    <row r="34" spans="1:5" x14ac:dyDescent="0.25">
      <c r="A34" s="10" t="s">
        <v>233</v>
      </c>
      <c r="B34" s="46">
        <v>1</v>
      </c>
      <c r="C34" s="46"/>
      <c r="D34" s="46"/>
      <c r="E34" s="2"/>
    </row>
    <row r="35" spans="1:5" ht="29.25" x14ac:dyDescent="0.25">
      <c r="A35" s="44" t="s">
        <v>58</v>
      </c>
      <c r="B35" s="46"/>
      <c r="C35" s="46"/>
      <c r="D35" s="46"/>
      <c r="E35" s="2"/>
    </row>
    <row r="36" spans="1:5" x14ac:dyDescent="0.25">
      <c r="A36" s="47" t="s">
        <v>17</v>
      </c>
      <c r="B36" s="46"/>
      <c r="C36" s="46">
        <v>1</v>
      </c>
      <c r="D36" s="46"/>
      <c r="E36" s="2"/>
    </row>
    <row r="37" spans="1:5" x14ac:dyDescent="0.25">
      <c r="A37" s="44" t="s">
        <v>18</v>
      </c>
      <c r="B37" s="46">
        <v>1</v>
      </c>
      <c r="C37" s="46">
        <v>1</v>
      </c>
      <c r="D37" s="46">
        <v>1</v>
      </c>
      <c r="E37" s="2"/>
    </row>
    <row r="38" spans="1:5" ht="29.25" x14ac:dyDescent="0.25">
      <c r="A38" s="10" t="s">
        <v>740</v>
      </c>
      <c r="B38" s="46"/>
      <c r="C38" s="46">
        <v>1</v>
      </c>
      <c r="D38" s="46"/>
      <c r="E38" s="2"/>
    </row>
    <row r="39" spans="1:5" x14ac:dyDescent="0.25">
      <c r="A39" s="49" t="s">
        <v>59</v>
      </c>
      <c r="B39" s="46"/>
      <c r="C39" s="46"/>
      <c r="D39" s="46"/>
      <c r="E39" s="2"/>
    </row>
    <row r="40" spans="1:5" x14ac:dyDescent="0.25">
      <c r="A40" s="44" t="s">
        <v>19</v>
      </c>
      <c r="B40" s="46">
        <v>1</v>
      </c>
      <c r="C40" s="46">
        <v>1</v>
      </c>
      <c r="D40" s="46">
        <v>1</v>
      </c>
      <c r="E40" s="2"/>
    </row>
    <row r="41" spans="1:5" ht="29.25" x14ac:dyDescent="0.25">
      <c r="A41" s="44" t="s">
        <v>60</v>
      </c>
      <c r="B41" s="46"/>
      <c r="C41" s="46"/>
      <c r="D41" s="46"/>
      <c r="E41" s="2"/>
    </row>
    <row r="42" spans="1:5" x14ac:dyDescent="0.25">
      <c r="A42" s="47" t="s">
        <v>20</v>
      </c>
      <c r="B42" s="46"/>
      <c r="C42" s="46">
        <v>1</v>
      </c>
      <c r="D42" s="46">
        <v>1</v>
      </c>
      <c r="E42" s="2"/>
    </row>
    <row r="43" spans="1:5" x14ac:dyDescent="0.25">
      <c r="A43" s="44" t="s">
        <v>21</v>
      </c>
      <c r="B43" s="46">
        <v>1</v>
      </c>
      <c r="C43" s="46">
        <v>1</v>
      </c>
      <c r="D43" s="46"/>
      <c r="E43" s="2"/>
    </row>
    <row r="44" spans="1:5" x14ac:dyDescent="0.25">
      <c r="A44" s="50" t="s">
        <v>22</v>
      </c>
      <c r="B44" s="46">
        <v>1</v>
      </c>
      <c r="C44" s="46">
        <v>1</v>
      </c>
      <c r="D44" s="46"/>
      <c r="E44" s="2"/>
    </row>
    <row r="45" spans="1:5" x14ac:dyDescent="0.25">
      <c r="A45" s="51" t="s">
        <v>61</v>
      </c>
      <c r="B45" s="46"/>
      <c r="C45" s="46"/>
      <c r="D45" s="46"/>
      <c r="E45" s="2"/>
    </row>
    <row r="46" spans="1:5" x14ac:dyDescent="0.25">
      <c r="A46" s="51" t="s">
        <v>62</v>
      </c>
      <c r="B46" s="46"/>
      <c r="C46" s="46"/>
      <c r="D46" s="46"/>
      <c r="E46" s="2"/>
    </row>
    <row r="47" spans="1:5" x14ac:dyDescent="0.25">
      <c r="A47" s="51" t="s">
        <v>23</v>
      </c>
      <c r="B47" s="46"/>
      <c r="C47" s="46">
        <v>1</v>
      </c>
      <c r="D47" s="46">
        <v>1</v>
      </c>
      <c r="E47" s="2"/>
    </row>
    <row r="48" spans="1:5" x14ac:dyDescent="0.25">
      <c r="A48" s="47" t="s">
        <v>63</v>
      </c>
      <c r="B48" s="46"/>
      <c r="C48" s="46"/>
      <c r="D48" s="46"/>
      <c r="E48" s="2"/>
    </row>
    <row r="49" spans="1:5" x14ac:dyDescent="0.25">
      <c r="A49" s="44" t="s">
        <v>24</v>
      </c>
      <c r="B49" s="46">
        <v>1</v>
      </c>
      <c r="C49" s="46">
        <v>1</v>
      </c>
      <c r="D49" s="46">
        <v>1</v>
      </c>
      <c r="E49" s="2"/>
    </row>
    <row r="50" spans="1:5" x14ac:dyDescent="0.25">
      <c r="A50" s="10" t="s">
        <v>115</v>
      </c>
      <c r="B50" s="46"/>
      <c r="C50" s="46"/>
      <c r="D50" s="46"/>
      <c r="E50" s="2"/>
    </row>
    <row r="51" spans="1:5" x14ac:dyDescent="0.25">
      <c r="A51" s="51" t="s">
        <v>25</v>
      </c>
      <c r="B51" s="46">
        <v>1</v>
      </c>
      <c r="C51" s="46">
        <v>1</v>
      </c>
      <c r="D51" s="46"/>
      <c r="E51" s="2"/>
    </row>
    <row r="52" spans="1:5" x14ac:dyDescent="0.25">
      <c r="A52" s="44" t="s">
        <v>64</v>
      </c>
      <c r="B52" s="46"/>
      <c r="C52" s="46"/>
      <c r="D52" s="46"/>
      <c r="E52" s="2"/>
    </row>
    <row r="53" spans="1:5" x14ac:dyDescent="0.25">
      <c r="A53" s="44" t="s">
        <v>65</v>
      </c>
      <c r="B53" s="46"/>
      <c r="C53" s="46"/>
      <c r="D53" s="46"/>
      <c r="E53" s="2"/>
    </row>
    <row r="54" spans="1:5" x14ac:dyDescent="0.25">
      <c r="A54" s="10" t="s">
        <v>741</v>
      </c>
      <c r="B54" s="46"/>
      <c r="C54" s="46"/>
      <c r="D54" s="46"/>
      <c r="E54" s="2"/>
    </row>
    <row r="55" spans="1:5" x14ac:dyDescent="0.25">
      <c r="A55" s="50" t="s">
        <v>66</v>
      </c>
      <c r="B55" s="46"/>
      <c r="C55" s="46"/>
      <c r="D55" s="46"/>
      <c r="E55" s="2"/>
    </row>
    <row r="56" spans="1:5" x14ac:dyDescent="0.25">
      <c r="A56" s="44" t="s">
        <v>26</v>
      </c>
      <c r="B56" s="46">
        <v>1</v>
      </c>
      <c r="C56" s="46">
        <v>1</v>
      </c>
      <c r="D56" s="46"/>
      <c r="E56" s="2"/>
    </row>
    <row r="57" spans="1:5" x14ac:dyDescent="0.25">
      <c r="A57" s="44" t="s">
        <v>67</v>
      </c>
      <c r="B57" s="46"/>
      <c r="C57" s="46"/>
      <c r="D57" s="46"/>
      <c r="E57" s="2"/>
    </row>
    <row r="58" spans="1:5" x14ac:dyDescent="0.25">
      <c r="A58" s="10" t="s">
        <v>742</v>
      </c>
      <c r="B58" s="46">
        <v>1</v>
      </c>
      <c r="C58" s="46"/>
      <c r="D58" s="46"/>
      <c r="E58" s="2"/>
    </row>
    <row r="59" spans="1:5" x14ac:dyDescent="0.25">
      <c r="A59" s="10" t="s">
        <v>743</v>
      </c>
      <c r="B59" s="46">
        <v>1</v>
      </c>
      <c r="C59" s="46"/>
      <c r="D59" s="46"/>
      <c r="E59" s="2"/>
    </row>
    <row r="60" spans="1:5" x14ac:dyDescent="0.25">
      <c r="A60" s="47" t="s">
        <v>27</v>
      </c>
      <c r="B60" s="46">
        <v>1</v>
      </c>
      <c r="C60" s="46">
        <v>1</v>
      </c>
      <c r="D60" s="46"/>
      <c r="E60" s="2"/>
    </row>
    <row r="61" spans="1:5" x14ac:dyDescent="0.25">
      <c r="A61" s="44" t="s">
        <v>28</v>
      </c>
      <c r="B61" s="46">
        <v>1</v>
      </c>
      <c r="C61" s="46">
        <v>1</v>
      </c>
      <c r="D61" s="46"/>
      <c r="E61" s="2"/>
    </row>
    <row r="62" spans="1:5" x14ac:dyDescent="0.25">
      <c r="A62" s="51" t="s">
        <v>68</v>
      </c>
      <c r="B62" s="46"/>
      <c r="C62" s="46"/>
      <c r="D62" s="46"/>
      <c r="E62" s="2"/>
    </row>
    <row r="63" spans="1:5" x14ac:dyDescent="0.25">
      <c r="A63" s="10" t="s">
        <v>744</v>
      </c>
      <c r="B63" s="46">
        <v>1</v>
      </c>
      <c r="C63" s="46"/>
      <c r="D63" s="46"/>
      <c r="E63" s="2"/>
    </row>
    <row r="64" spans="1:5" x14ac:dyDescent="0.25">
      <c r="A64" s="44" t="s">
        <v>69</v>
      </c>
      <c r="B64" s="46"/>
      <c r="C64" s="46"/>
      <c r="D64" s="46"/>
      <c r="E64" s="2"/>
    </row>
    <row r="65" spans="1:5" x14ac:dyDescent="0.25">
      <c r="A65" s="44" t="s">
        <v>29</v>
      </c>
      <c r="B65" s="46">
        <v>1</v>
      </c>
      <c r="C65" s="46">
        <v>1</v>
      </c>
      <c r="D65" s="46"/>
      <c r="E65" s="2"/>
    </row>
    <row r="66" spans="1:5" x14ac:dyDescent="0.25">
      <c r="A66" s="44" t="s">
        <v>70</v>
      </c>
      <c r="B66" s="46"/>
      <c r="C66" s="46"/>
      <c r="D66" s="46"/>
      <c r="E66" s="2"/>
    </row>
    <row r="67" spans="1:5" x14ac:dyDescent="0.25">
      <c r="A67" s="44" t="s">
        <v>30</v>
      </c>
      <c r="B67" s="46">
        <v>1</v>
      </c>
      <c r="C67" s="46">
        <v>1</v>
      </c>
      <c r="D67" s="46"/>
      <c r="E67" s="2"/>
    </row>
    <row r="68" spans="1:5" x14ac:dyDescent="0.25">
      <c r="A68" s="44" t="s">
        <v>31</v>
      </c>
      <c r="B68" s="46">
        <v>1</v>
      </c>
      <c r="C68" s="46">
        <v>1</v>
      </c>
      <c r="D68" s="46"/>
      <c r="E68" s="2"/>
    </row>
    <row r="69" spans="1:5" x14ac:dyDescent="0.25">
      <c r="A69" s="44" t="s">
        <v>71</v>
      </c>
      <c r="B69" s="46"/>
      <c r="C69" s="46"/>
      <c r="D69" s="46"/>
      <c r="E69" s="2"/>
    </row>
    <row r="70" spans="1:5" x14ac:dyDescent="0.25">
      <c r="A70" s="10" t="s">
        <v>745</v>
      </c>
      <c r="B70" s="46"/>
      <c r="C70" s="46"/>
      <c r="D70" s="46"/>
      <c r="E70" s="2"/>
    </row>
    <row r="71" spans="1:5" x14ac:dyDescent="0.25">
      <c r="A71" s="10" t="s">
        <v>746</v>
      </c>
      <c r="B71" s="46">
        <v>1</v>
      </c>
      <c r="C71" s="46"/>
      <c r="D71" s="46"/>
      <c r="E71" s="2"/>
    </row>
    <row r="72" spans="1:5" x14ac:dyDescent="0.25">
      <c r="A72" s="11" t="s">
        <v>747</v>
      </c>
      <c r="B72" s="46"/>
      <c r="C72" s="46"/>
      <c r="D72" s="46"/>
      <c r="E72" s="2"/>
    </row>
    <row r="73" spans="1:5" x14ac:dyDescent="0.25">
      <c r="A73" s="48" t="s">
        <v>72</v>
      </c>
      <c r="B73" s="46"/>
      <c r="C73" s="46"/>
      <c r="D73" s="46"/>
      <c r="E73" s="2"/>
    </row>
    <row r="74" spans="1:5" x14ac:dyDescent="0.25">
      <c r="A74" s="44" t="s">
        <v>32</v>
      </c>
      <c r="B74" s="46">
        <v>1</v>
      </c>
      <c r="C74" s="46">
        <v>1</v>
      </c>
      <c r="D74" s="46"/>
      <c r="E74" s="2"/>
    </row>
    <row r="75" spans="1:5" x14ac:dyDescent="0.25">
      <c r="A75" s="47" t="s">
        <v>33</v>
      </c>
      <c r="B75" s="46">
        <v>1</v>
      </c>
      <c r="C75" s="46">
        <v>1</v>
      </c>
      <c r="D75" s="46"/>
      <c r="E75" s="2"/>
    </row>
    <row r="76" spans="1:5" ht="29.25" x14ac:dyDescent="0.25">
      <c r="A76" s="47" t="s">
        <v>73</v>
      </c>
      <c r="B76" s="46">
        <v>1</v>
      </c>
      <c r="C76" s="46"/>
      <c r="D76" s="46">
        <v>1</v>
      </c>
      <c r="E76" s="2"/>
    </row>
    <row r="77" spans="1:5" x14ac:dyDescent="0.25">
      <c r="A77" s="10" t="s">
        <v>748</v>
      </c>
      <c r="B77" s="46">
        <v>1</v>
      </c>
      <c r="C77" s="46"/>
      <c r="D77" s="46"/>
      <c r="E77" s="2"/>
    </row>
    <row r="78" spans="1:5" x14ac:dyDescent="0.25">
      <c r="A78" s="44" t="s">
        <v>34</v>
      </c>
      <c r="B78" s="46">
        <v>1</v>
      </c>
      <c r="C78" s="46">
        <v>1</v>
      </c>
      <c r="D78" s="46"/>
      <c r="E78" s="2"/>
    </row>
    <row r="79" spans="1:5" x14ac:dyDescent="0.25">
      <c r="A79" s="10" t="s">
        <v>749</v>
      </c>
      <c r="B79" s="46">
        <v>1</v>
      </c>
      <c r="C79" s="46"/>
      <c r="D79" s="46"/>
      <c r="E79" s="2"/>
    </row>
    <row r="80" spans="1:5" x14ac:dyDescent="0.25">
      <c r="A80" s="10" t="s">
        <v>336</v>
      </c>
      <c r="B80" s="46">
        <v>1</v>
      </c>
      <c r="C80" s="46"/>
      <c r="D80" s="46"/>
      <c r="E80" s="2"/>
    </row>
    <row r="81" spans="1:5" x14ac:dyDescent="0.25">
      <c r="A81" s="10" t="s">
        <v>750</v>
      </c>
      <c r="B81" s="46">
        <v>1</v>
      </c>
      <c r="C81" s="46"/>
      <c r="D81" s="46"/>
      <c r="E81" s="2"/>
    </row>
    <row r="82" spans="1:5" ht="29.25" x14ac:dyDescent="0.25">
      <c r="A82" s="47" t="s">
        <v>74</v>
      </c>
      <c r="B82" s="46"/>
      <c r="C82" s="46"/>
      <c r="D82" s="46"/>
      <c r="E82" s="2"/>
    </row>
    <row r="83" spans="1:5" ht="29.25" x14ac:dyDescent="0.25">
      <c r="A83" s="15" t="s">
        <v>675</v>
      </c>
      <c r="B83" s="46">
        <v>1</v>
      </c>
      <c r="C83" s="46"/>
      <c r="D83" s="46"/>
      <c r="E83" s="2"/>
    </row>
    <row r="84" spans="1:5" x14ac:dyDescent="0.25">
      <c r="A84" s="10" t="s">
        <v>751</v>
      </c>
      <c r="B84" s="46">
        <v>1</v>
      </c>
      <c r="C84" s="46">
        <v>1</v>
      </c>
      <c r="D84" s="46"/>
      <c r="E84" s="2"/>
    </row>
    <row r="85" spans="1:5" x14ac:dyDescent="0.25">
      <c r="A85" s="48" t="s">
        <v>35</v>
      </c>
      <c r="B85" s="46"/>
      <c r="C85" s="46">
        <v>1</v>
      </c>
      <c r="D85" s="46"/>
      <c r="E85" s="2"/>
    </row>
    <row r="86" spans="1:5" x14ac:dyDescent="0.25">
      <c r="A86" s="44" t="s">
        <v>75</v>
      </c>
      <c r="B86" s="46"/>
      <c r="C86" s="46"/>
      <c r="D86" s="46"/>
      <c r="E86" s="2"/>
    </row>
    <row r="87" spans="1:5" x14ac:dyDescent="0.25">
      <c r="A87" s="44" t="s">
        <v>36</v>
      </c>
      <c r="B87" s="46">
        <v>1</v>
      </c>
      <c r="C87" s="46">
        <v>1</v>
      </c>
      <c r="D87" s="46"/>
      <c r="E87" s="2"/>
    </row>
    <row r="88" spans="1:5" x14ac:dyDescent="0.25">
      <c r="A88" s="49" t="s">
        <v>37</v>
      </c>
      <c r="B88" s="46"/>
      <c r="C88" s="46">
        <v>1</v>
      </c>
      <c r="D88" s="46"/>
      <c r="E88" s="2"/>
    </row>
    <row r="89" spans="1:5" x14ac:dyDescent="0.25">
      <c r="A89" s="44" t="s">
        <v>76</v>
      </c>
      <c r="B89" s="46"/>
      <c r="C89" s="46"/>
      <c r="D89" s="46"/>
      <c r="E89" s="2"/>
    </row>
    <row r="90" spans="1:5" x14ac:dyDescent="0.25">
      <c r="A90" s="44" t="s">
        <v>38</v>
      </c>
      <c r="B90" s="46">
        <v>1</v>
      </c>
      <c r="C90" s="46">
        <v>1</v>
      </c>
      <c r="D90" s="46">
        <v>1</v>
      </c>
      <c r="E90" s="2"/>
    </row>
    <row r="91" spans="1:5" x14ac:dyDescent="0.25">
      <c r="A91" s="44" t="s">
        <v>39</v>
      </c>
      <c r="B91" s="46">
        <v>1</v>
      </c>
      <c r="C91" s="46">
        <v>1</v>
      </c>
      <c r="D91" s="46"/>
      <c r="E91" s="2"/>
    </row>
    <row r="92" spans="1:5" x14ac:dyDescent="0.25">
      <c r="A92" s="44" t="s">
        <v>77</v>
      </c>
      <c r="B92" s="46">
        <v>1</v>
      </c>
      <c r="C92" s="46"/>
      <c r="D92" s="46">
        <v>1</v>
      </c>
      <c r="E92" s="2">
        <v>1</v>
      </c>
    </row>
    <row r="93" spans="1:5" ht="29.25" x14ac:dyDescent="0.25">
      <c r="A93" s="44" t="s">
        <v>78</v>
      </c>
      <c r="B93" s="46"/>
      <c r="C93" s="46"/>
      <c r="D93" s="46"/>
      <c r="E93" s="2"/>
    </row>
    <row r="94" spans="1:5" x14ac:dyDescent="0.25">
      <c r="A94" s="49" t="s">
        <v>40</v>
      </c>
      <c r="B94" s="46"/>
      <c r="C94" s="46">
        <v>1</v>
      </c>
      <c r="D94" s="46"/>
      <c r="E94" s="2"/>
    </row>
    <row r="95" spans="1:5" x14ac:dyDescent="0.25">
      <c r="A95" s="44" t="s">
        <v>79</v>
      </c>
      <c r="B95" s="46"/>
      <c r="C95" s="46"/>
      <c r="D95" s="46"/>
      <c r="E95" s="2"/>
    </row>
    <row r="96" spans="1:5" x14ac:dyDescent="0.25">
      <c r="A96" s="10" t="s">
        <v>752</v>
      </c>
      <c r="B96" s="46"/>
      <c r="C96" s="46"/>
      <c r="D96" s="46"/>
      <c r="E96" s="2"/>
    </row>
    <row r="97" spans="1:5" x14ac:dyDescent="0.25">
      <c r="A97" s="44" t="s">
        <v>80</v>
      </c>
      <c r="B97" s="46"/>
      <c r="C97" s="46"/>
      <c r="D97" s="46"/>
      <c r="E97" s="2"/>
    </row>
    <row r="98" spans="1:5" x14ac:dyDescent="0.25">
      <c r="A98" s="10" t="s">
        <v>753</v>
      </c>
      <c r="B98" s="46">
        <v>1</v>
      </c>
      <c r="C98" s="46"/>
      <c r="D98" s="46"/>
      <c r="E98" s="2"/>
    </row>
    <row r="99" spans="1:5" x14ac:dyDescent="0.25">
      <c r="A99" s="10" t="s">
        <v>754</v>
      </c>
      <c r="B99" s="46"/>
      <c r="C99" s="46"/>
      <c r="D99" s="46"/>
      <c r="E99" s="2"/>
    </row>
    <row r="100" spans="1:5" x14ac:dyDescent="0.25">
      <c r="A100" s="47" t="s">
        <v>41</v>
      </c>
      <c r="B100" s="46">
        <v>1</v>
      </c>
      <c r="C100" s="46">
        <v>1</v>
      </c>
      <c r="D100" s="46"/>
      <c r="E100" s="2"/>
    </row>
    <row r="101" spans="1:5" x14ac:dyDescent="0.25">
      <c r="A101" s="11" t="s">
        <v>149</v>
      </c>
      <c r="B101" s="46">
        <v>1</v>
      </c>
      <c r="C101" s="46"/>
      <c r="D101" s="46"/>
      <c r="E101" s="2"/>
    </row>
    <row r="102" spans="1:5" x14ac:dyDescent="0.25">
      <c r="A102" s="11" t="s">
        <v>755</v>
      </c>
      <c r="B102" s="46"/>
      <c r="C102" s="46"/>
      <c r="D102" s="46"/>
      <c r="E102" s="2"/>
    </row>
    <row r="103" spans="1:5" x14ac:dyDescent="0.25">
      <c r="A103" s="10" t="s">
        <v>756</v>
      </c>
      <c r="B103" s="46"/>
      <c r="C103" s="46"/>
      <c r="D103" s="46"/>
      <c r="E103" s="2"/>
    </row>
    <row r="104" spans="1:5" x14ac:dyDescent="0.25">
      <c r="A104" s="44" t="s">
        <v>81</v>
      </c>
      <c r="B104" s="46"/>
      <c r="C104" s="46"/>
      <c r="D104" s="46"/>
      <c r="E104" s="2"/>
    </row>
    <row r="105" spans="1:5" x14ac:dyDescent="0.25">
      <c r="A105" s="44" t="s">
        <v>82</v>
      </c>
      <c r="B105" s="46">
        <v>1</v>
      </c>
      <c r="C105" s="46"/>
      <c r="D105" s="46"/>
      <c r="E105" s="2"/>
    </row>
    <row r="106" spans="1:5" x14ac:dyDescent="0.25">
      <c r="A106" s="10" t="s">
        <v>757</v>
      </c>
      <c r="B106" s="46"/>
      <c r="C106" s="46"/>
      <c r="D106" s="46"/>
      <c r="E106" s="2"/>
    </row>
    <row r="107" spans="1:5" x14ac:dyDescent="0.25">
      <c r="A107" s="47" t="s">
        <v>83</v>
      </c>
      <c r="B107" s="46">
        <v>1</v>
      </c>
      <c r="C107" s="46"/>
      <c r="D107" s="46">
        <v>1</v>
      </c>
      <c r="E107" s="2"/>
    </row>
    <row r="108" spans="1:5" x14ac:dyDescent="0.25">
      <c r="A108" s="47" t="s">
        <v>84</v>
      </c>
      <c r="B108" s="46"/>
      <c r="C108" s="46"/>
      <c r="D108" s="46"/>
      <c r="E108" s="2"/>
    </row>
    <row r="109" spans="1:5" x14ac:dyDescent="0.25">
      <c r="A109" s="15" t="s">
        <v>697</v>
      </c>
      <c r="B109" s="46"/>
      <c r="C109" s="46">
        <v>1</v>
      </c>
      <c r="D109" s="46"/>
      <c r="E109" s="2"/>
    </row>
    <row r="110" spans="1:5" x14ac:dyDescent="0.25">
      <c r="A110" s="47" t="s">
        <v>85</v>
      </c>
      <c r="B110" s="46"/>
      <c r="C110" s="46"/>
      <c r="D110" s="46"/>
      <c r="E110" s="2"/>
    </row>
    <row r="111" spans="1:5" x14ac:dyDescent="0.25">
      <c r="A111" s="44" t="s">
        <v>42</v>
      </c>
      <c r="B111" s="46">
        <v>1</v>
      </c>
      <c r="C111" s="46">
        <v>1</v>
      </c>
      <c r="D111" s="46">
        <v>1</v>
      </c>
      <c r="E111" s="2"/>
    </row>
    <row r="112" spans="1:5" x14ac:dyDescent="0.25">
      <c r="A112" s="44" t="s">
        <v>86</v>
      </c>
      <c r="B112" s="46"/>
      <c r="C112" s="46"/>
      <c r="D112" s="46"/>
      <c r="E112" s="2"/>
    </row>
    <row r="113" spans="1:5" x14ac:dyDescent="0.25">
      <c r="A113" s="10" t="s">
        <v>758</v>
      </c>
      <c r="B113" s="46">
        <v>1</v>
      </c>
      <c r="C113" s="46"/>
      <c r="D113" s="46"/>
      <c r="E113" s="2"/>
    </row>
    <row r="114" spans="1:5" x14ac:dyDescent="0.25">
      <c r="A114" s="47" t="s">
        <v>87</v>
      </c>
      <c r="B114" s="46"/>
      <c r="C114" s="46"/>
      <c r="D114" s="46"/>
      <c r="E114" s="2"/>
    </row>
    <row r="115" spans="1:5" x14ac:dyDescent="0.25">
      <c r="A115" s="44" t="s">
        <v>88</v>
      </c>
      <c r="B115" s="46">
        <v>1</v>
      </c>
      <c r="C115" s="46"/>
      <c r="D115" s="46"/>
      <c r="E115" s="2"/>
    </row>
    <row r="116" spans="1:5" x14ac:dyDescent="0.25">
      <c r="A116" s="44" t="s">
        <v>89</v>
      </c>
      <c r="B116" s="46"/>
      <c r="C116" s="46"/>
      <c r="D116" s="46">
        <v>1</v>
      </c>
      <c r="E116" s="2"/>
    </row>
    <row r="117" spans="1:5" x14ac:dyDescent="0.25">
      <c r="A117" s="44" t="s">
        <v>43</v>
      </c>
      <c r="B117" s="46">
        <v>1</v>
      </c>
      <c r="C117" s="46">
        <v>1</v>
      </c>
      <c r="D117" s="46"/>
      <c r="E117" s="2"/>
    </row>
    <row r="118" spans="1:5" x14ac:dyDescent="0.25">
      <c r="A118" s="44" t="s">
        <v>90</v>
      </c>
      <c r="B118" s="46"/>
      <c r="C118" s="46"/>
      <c r="D118" s="46"/>
      <c r="E118" s="2"/>
    </row>
    <row r="119" spans="1:5" x14ac:dyDescent="0.25">
      <c r="A119" s="44" t="s">
        <v>91</v>
      </c>
      <c r="B119" s="46"/>
      <c r="C119" s="46"/>
      <c r="D119" s="46"/>
      <c r="E119" s="2"/>
    </row>
    <row r="120" spans="1:5" x14ac:dyDescent="0.25">
      <c r="A120" s="44" t="s">
        <v>92</v>
      </c>
      <c r="B120" s="46"/>
      <c r="C120" s="46"/>
      <c r="D120" s="46"/>
      <c r="E120" s="2"/>
    </row>
    <row r="121" spans="1:5" x14ac:dyDescent="0.25">
      <c r="A121" s="44" t="s">
        <v>44</v>
      </c>
      <c r="B121" s="46">
        <v>1</v>
      </c>
      <c r="C121" s="46">
        <v>1</v>
      </c>
      <c r="D121" s="46"/>
      <c r="E121" s="2"/>
    </row>
    <row r="122" spans="1:5" x14ac:dyDescent="0.25">
      <c r="A122" s="44" t="s">
        <v>45</v>
      </c>
      <c r="B122" s="46">
        <v>1</v>
      </c>
      <c r="C122" s="46">
        <v>1</v>
      </c>
      <c r="D122" s="46"/>
      <c r="E122" s="2"/>
    </row>
    <row r="123" spans="1:5" x14ac:dyDescent="0.25">
      <c r="A123" s="44" t="s">
        <v>93</v>
      </c>
      <c r="B123" s="46"/>
      <c r="C123" s="46"/>
      <c r="D123" s="46"/>
      <c r="E123" s="2"/>
    </row>
    <row r="124" spans="1:5" x14ac:dyDescent="0.25">
      <c r="A124" s="44" t="s">
        <v>94</v>
      </c>
      <c r="B124" s="46"/>
      <c r="C124" s="46"/>
      <c r="D124" s="46"/>
      <c r="E124" s="2"/>
    </row>
    <row r="125" spans="1:5" x14ac:dyDescent="0.25">
      <c r="A125" s="10" t="s">
        <v>759</v>
      </c>
      <c r="B125" s="46"/>
      <c r="C125" s="46"/>
      <c r="D125" s="46"/>
      <c r="E125" s="2"/>
    </row>
    <row r="126" spans="1:5" x14ac:dyDescent="0.25">
      <c r="A126" s="10" t="s">
        <v>760</v>
      </c>
      <c r="B126" s="46">
        <v>1</v>
      </c>
      <c r="C126" s="46"/>
      <c r="D126" s="46"/>
      <c r="E126" s="2"/>
    </row>
    <row r="127" spans="1:5" x14ac:dyDescent="0.25">
      <c r="A127" s="48" t="s">
        <v>46</v>
      </c>
      <c r="B127" s="46"/>
      <c r="C127" s="46">
        <v>1</v>
      </c>
      <c r="D127" s="46"/>
      <c r="E127" s="2"/>
    </row>
    <row r="128" spans="1:5" x14ac:dyDescent="0.25">
      <c r="A128" s="44" t="s">
        <v>95</v>
      </c>
      <c r="B128" s="46"/>
      <c r="C128" s="46"/>
      <c r="D128" s="46"/>
      <c r="E128" s="2"/>
    </row>
    <row r="129" spans="1:5" x14ac:dyDescent="0.25">
      <c r="A129" s="44" t="s">
        <v>47</v>
      </c>
      <c r="B129" s="46">
        <v>1</v>
      </c>
      <c r="C129" s="46">
        <v>1</v>
      </c>
      <c r="D129" s="46">
        <v>1</v>
      </c>
      <c r="E129" s="2"/>
    </row>
    <row r="130" spans="1:5" ht="29.25" x14ac:dyDescent="0.25">
      <c r="A130" s="10" t="s">
        <v>761</v>
      </c>
      <c r="B130" s="46"/>
      <c r="C130" s="46"/>
      <c r="D130" s="46"/>
      <c r="E130" s="2"/>
    </row>
    <row r="131" spans="1:5" x14ac:dyDescent="0.25">
      <c r="A131" s="44" t="s">
        <v>48</v>
      </c>
      <c r="B131" s="46"/>
      <c r="C131" s="46">
        <v>1</v>
      </c>
      <c r="D131" s="46"/>
      <c r="E131" s="2"/>
    </row>
    <row r="132" spans="1:5" x14ac:dyDescent="0.25">
      <c r="A132" s="10" t="s">
        <v>762</v>
      </c>
      <c r="B132" s="46"/>
      <c r="C132" s="46"/>
      <c r="D132" s="46"/>
      <c r="E132" s="2"/>
    </row>
    <row r="133" spans="1:5" x14ac:dyDescent="0.25">
      <c r="A133" s="44" t="s">
        <v>49</v>
      </c>
      <c r="B133" s="46">
        <v>1</v>
      </c>
      <c r="C133" s="46">
        <v>1</v>
      </c>
      <c r="D133" s="46"/>
      <c r="E133" s="2"/>
    </row>
    <row r="134" spans="1:5" x14ac:dyDescent="0.25">
      <c r="A134" s="50" t="s">
        <v>96</v>
      </c>
      <c r="B134" s="46"/>
      <c r="C134" s="46"/>
      <c r="D134" s="46"/>
      <c r="E134" s="2"/>
    </row>
    <row r="135" spans="1:5" x14ac:dyDescent="0.25">
      <c r="A135" s="10" t="s">
        <v>763</v>
      </c>
      <c r="B135" s="46">
        <v>1</v>
      </c>
      <c r="C135" s="46">
        <v>1</v>
      </c>
      <c r="D135" s="46">
        <v>1</v>
      </c>
      <c r="E135" s="2"/>
    </row>
    <row r="136" spans="1:5" x14ac:dyDescent="0.25">
      <c r="A136" s="44" t="s">
        <v>50</v>
      </c>
      <c r="B136" s="46">
        <v>1</v>
      </c>
      <c r="C136" s="46">
        <v>1</v>
      </c>
      <c r="D136" s="46"/>
      <c r="E136" s="2"/>
    </row>
    <row r="137" spans="1:5" x14ac:dyDescent="0.25">
      <c r="A137" s="51" t="s">
        <v>97</v>
      </c>
      <c r="B137" s="46"/>
      <c r="C137" s="46"/>
      <c r="D137" s="46"/>
      <c r="E137" s="2"/>
    </row>
    <row r="138" spans="1:5" x14ac:dyDescent="0.25">
      <c r="A138" s="10" t="s">
        <v>488</v>
      </c>
      <c r="B138" s="46">
        <v>1</v>
      </c>
      <c r="C138" s="46"/>
      <c r="D138" s="46"/>
      <c r="E138" s="2"/>
    </row>
    <row r="139" spans="1:5" x14ac:dyDescent="0.25">
      <c r="A139" s="10" t="s">
        <v>764</v>
      </c>
      <c r="B139" s="46">
        <v>1</v>
      </c>
      <c r="C139" s="46">
        <v>1</v>
      </c>
      <c r="D139" s="46"/>
      <c r="E139" s="2"/>
    </row>
    <row r="140" spans="1:5" x14ac:dyDescent="0.25">
      <c r="A140"/>
    </row>
    <row r="141" spans="1:5" x14ac:dyDescent="0.25">
      <c r="A141"/>
    </row>
    <row r="142" spans="1:5" x14ac:dyDescent="0.25">
      <c r="A142"/>
    </row>
    <row r="143" spans="1:5" x14ac:dyDescent="0.25">
      <c r="A143"/>
    </row>
    <row r="144" spans="1:5" x14ac:dyDescent="0.25">
      <c r="A144"/>
    </row>
    <row r="145" spans="1:3" x14ac:dyDescent="0.25">
      <c r="A145"/>
    </row>
    <row r="146" spans="1:3" x14ac:dyDescent="0.25">
      <c r="A146"/>
      <c r="C146" s="1"/>
    </row>
    <row r="147" spans="1:3" x14ac:dyDescent="0.25">
      <c r="A147"/>
      <c r="C147" s="1"/>
    </row>
    <row r="148" spans="1:3" x14ac:dyDescent="0.25">
      <c r="A148"/>
    </row>
    <row r="149" spans="1:3" x14ac:dyDescent="0.25">
      <c r="A149"/>
    </row>
    <row r="150" spans="1:3" x14ac:dyDescent="0.25">
      <c r="A150"/>
    </row>
    <row r="151" spans="1:3" x14ac:dyDescent="0.25">
      <c r="A151"/>
    </row>
    <row r="152" spans="1:3" x14ac:dyDescent="0.25">
      <c r="A152"/>
    </row>
    <row r="153" spans="1:3" x14ac:dyDescent="0.25">
      <c r="A153"/>
    </row>
    <row r="154" spans="1:3" x14ac:dyDescent="0.25">
      <c r="A154"/>
    </row>
    <row r="155" spans="1:3" x14ac:dyDescent="0.25">
      <c r="A155"/>
    </row>
    <row r="156" spans="1:3" x14ac:dyDescent="0.25">
      <c r="A156"/>
    </row>
    <row r="157" spans="1:3" x14ac:dyDescent="0.25">
      <c r="A157"/>
    </row>
    <row r="158" spans="1:3" x14ac:dyDescent="0.25">
      <c r="A158"/>
    </row>
    <row r="159" spans="1:3" x14ac:dyDescent="0.25">
      <c r="A159"/>
    </row>
    <row r="160" spans="1:3" x14ac:dyDescent="0.25">
      <c r="A160"/>
      <c r="C160" s="1"/>
    </row>
    <row r="161" spans="1:3" x14ac:dyDescent="0.25">
      <c r="A161"/>
    </row>
    <row r="162" spans="1:3" x14ac:dyDescent="0.25">
      <c r="A162"/>
    </row>
    <row r="163" spans="1:3" x14ac:dyDescent="0.25">
      <c r="A163"/>
    </row>
    <row r="164" spans="1:3" x14ac:dyDescent="0.25">
      <c r="A164"/>
    </row>
    <row r="165" spans="1:3" x14ac:dyDescent="0.25">
      <c r="A165"/>
    </row>
    <row r="166" spans="1:3" x14ac:dyDescent="0.25">
      <c r="A166"/>
    </row>
    <row r="167" spans="1:3" x14ac:dyDescent="0.25">
      <c r="A167"/>
    </row>
    <row r="168" spans="1:3" x14ac:dyDescent="0.25">
      <c r="A168"/>
      <c r="C168" s="1"/>
    </row>
    <row r="169" spans="1:3" x14ac:dyDescent="0.25">
      <c r="A169"/>
    </row>
    <row r="170" spans="1:3" x14ac:dyDescent="0.25">
      <c r="A170"/>
    </row>
    <row r="171" spans="1:3" x14ac:dyDescent="0.25">
      <c r="A171"/>
    </row>
    <row r="172" spans="1:3" x14ac:dyDescent="0.25">
      <c r="A172"/>
    </row>
    <row r="173" spans="1:3" x14ac:dyDescent="0.25">
      <c r="A173"/>
    </row>
    <row r="174" spans="1:3" x14ac:dyDescent="0.25">
      <c r="A174"/>
      <c r="C174" s="1"/>
    </row>
    <row r="175" spans="1:3" x14ac:dyDescent="0.25">
      <c r="A175"/>
      <c r="C175" s="1"/>
    </row>
    <row r="176" spans="1:3" x14ac:dyDescent="0.25">
      <c r="A176"/>
    </row>
    <row r="177" spans="1:3" x14ac:dyDescent="0.25">
      <c r="A177"/>
    </row>
    <row r="178" spans="1:3" x14ac:dyDescent="0.25">
      <c r="A178"/>
    </row>
    <row r="179" spans="1:3" x14ac:dyDescent="0.25">
      <c r="A179"/>
    </row>
    <row r="180" spans="1:3" x14ac:dyDescent="0.25">
      <c r="A180"/>
    </row>
    <row r="181" spans="1:3" x14ac:dyDescent="0.25">
      <c r="A181"/>
      <c r="C181" s="1"/>
    </row>
    <row r="182" spans="1:3" x14ac:dyDescent="0.25">
      <c r="A182"/>
    </row>
    <row r="183" spans="1:3" x14ac:dyDescent="0.25">
      <c r="A183"/>
      <c r="C183" s="1"/>
    </row>
    <row r="184" spans="1:3" x14ac:dyDescent="0.25">
      <c r="A184"/>
    </row>
    <row r="185" spans="1:3" x14ac:dyDescent="0.25">
      <c r="A185"/>
      <c r="C185" s="1"/>
    </row>
    <row r="186" spans="1:3" x14ac:dyDescent="0.25">
      <c r="A186"/>
    </row>
    <row r="187" spans="1:3" x14ac:dyDescent="0.25">
      <c r="A187"/>
      <c r="C187" s="1"/>
    </row>
    <row r="188" spans="1:3" x14ac:dyDescent="0.25">
      <c r="A188"/>
      <c r="C188" s="1"/>
    </row>
    <row r="189" spans="1:3" x14ac:dyDescent="0.25">
      <c r="A189"/>
    </row>
    <row r="190" spans="1:3" x14ac:dyDescent="0.25">
      <c r="A190"/>
    </row>
    <row r="191" spans="1:3" x14ac:dyDescent="0.25">
      <c r="A191"/>
    </row>
    <row r="192" spans="1:3" x14ac:dyDescent="0.25">
      <c r="A192"/>
      <c r="C192" s="1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</sheetData>
  <autoFilter ref="A1:E196" xr:uid="{8A25FCBB-A0DB-479F-9B77-76BF4A2D2A0F}">
    <sortState xmlns:xlrd2="http://schemas.microsoft.com/office/spreadsheetml/2017/richdata2" ref="A2:E196">
      <sortCondition ref="A1:A196"/>
    </sortState>
  </autoFilter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7E75-24A4-42F5-ACD8-98BE43FFA69D}">
  <dimension ref="A1:J169"/>
  <sheetViews>
    <sheetView zoomScaleNormal="100" workbookViewId="0">
      <selection activeCell="G2" sqref="G2:J2"/>
    </sheetView>
  </sheetViews>
  <sheetFormatPr defaultRowHeight="15" x14ac:dyDescent="0.25"/>
  <cols>
    <col min="1" max="1" width="20.7109375" customWidth="1"/>
    <col min="2" max="2" width="7.85546875" bestFit="1" customWidth="1"/>
    <col min="3" max="3" width="15.5703125" bestFit="1" customWidth="1"/>
    <col min="4" max="4" width="15.140625" bestFit="1" customWidth="1"/>
    <col min="5" max="5" width="17.28515625" customWidth="1"/>
    <col min="7" max="7" width="15" bestFit="1" customWidth="1"/>
    <col min="8" max="8" width="22.85546875" bestFit="1" customWidth="1"/>
    <col min="9" max="9" width="22.5703125" bestFit="1" customWidth="1"/>
    <col min="10" max="10" width="24.140625" bestFit="1" customWidth="1"/>
  </cols>
  <sheetData>
    <row r="1" spans="1:10" x14ac:dyDescent="0.25">
      <c r="A1" s="96" t="s">
        <v>52</v>
      </c>
      <c r="B1" s="94" t="s">
        <v>211</v>
      </c>
      <c r="C1" s="94" t="s">
        <v>0</v>
      </c>
      <c r="D1" s="94" t="s">
        <v>1</v>
      </c>
      <c r="E1" s="94" t="s">
        <v>642</v>
      </c>
      <c r="G1" t="s">
        <v>354</v>
      </c>
      <c r="H1" t="s">
        <v>355</v>
      </c>
      <c r="I1" t="s">
        <v>356</v>
      </c>
      <c r="J1" t="s">
        <v>733</v>
      </c>
    </row>
    <row r="2" spans="1:10" x14ac:dyDescent="0.25">
      <c r="A2" s="10" t="s">
        <v>212</v>
      </c>
      <c r="B2" s="10">
        <v>1</v>
      </c>
      <c r="C2" s="10">
        <v>1</v>
      </c>
      <c r="D2" s="2"/>
      <c r="E2" s="2"/>
      <c r="G2" s="97">
        <v>76</v>
      </c>
      <c r="H2" s="97">
        <v>66</v>
      </c>
      <c r="I2" s="97">
        <v>25</v>
      </c>
      <c r="J2" s="97"/>
    </row>
    <row r="3" spans="1:10" x14ac:dyDescent="0.25">
      <c r="A3" s="11" t="s">
        <v>213</v>
      </c>
      <c r="B3" s="10"/>
      <c r="C3" s="2"/>
      <c r="D3" s="2"/>
      <c r="E3" s="2"/>
    </row>
    <row r="4" spans="1:10" x14ac:dyDescent="0.25">
      <c r="A4" s="10" t="s">
        <v>214</v>
      </c>
      <c r="B4" s="10">
        <v>1</v>
      </c>
      <c r="C4" s="10">
        <v>1</v>
      </c>
      <c r="D4" s="2"/>
      <c r="E4" s="2"/>
    </row>
    <row r="5" spans="1:10" x14ac:dyDescent="0.25">
      <c r="A5" s="12" t="s">
        <v>215</v>
      </c>
      <c r="B5" s="10">
        <v>1</v>
      </c>
      <c r="C5" s="10">
        <v>1</v>
      </c>
      <c r="D5" s="2"/>
      <c r="E5" s="2"/>
    </row>
    <row r="6" spans="1:10" ht="29.25" x14ac:dyDescent="0.25">
      <c r="A6" s="11" t="s">
        <v>216</v>
      </c>
      <c r="B6" s="10"/>
      <c r="C6" s="2"/>
      <c r="D6" s="2"/>
      <c r="E6" s="2"/>
    </row>
    <row r="7" spans="1:10" x14ac:dyDescent="0.25">
      <c r="A7" s="10" t="s">
        <v>217</v>
      </c>
      <c r="B7" s="10"/>
      <c r="C7" s="2"/>
      <c r="D7" s="2"/>
      <c r="E7" s="2"/>
    </row>
    <row r="8" spans="1:10" x14ac:dyDescent="0.25">
      <c r="A8" s="10" t="s">
        <v>218</v>
      </c>
      <c r="B8" s="10">
        <v>1</v>
      </c>
      <c r="C8" s="10">
        <v>1</v>
      </c>
      <c r="D8" s="2"/>
      <c r="E8" s="2"/>
    </row>
    <row r="9" spans="1:10" x14ac:dyDescent="0.25">
      <c r="A9" s="13" t="s">
        <v>219</v>
      </c>
      <c r="B9" s="10"/>
      <c r="C9" s="2"/>
      <c r="D9" s="2"/>
      <c r="E9" s="2"/>
    </row>
    <row r="10" spans="1:10" ht="15.75" x14ac:dyDescent="0.25">
      <c r="A10" s="14" t="s">
        <v>54</v>
      </c>
      <c r="B10" s="14"/>
      <c r="C10" s="2"/>
      <c r="D10" s="2"/>
      <c r="E10" s="2"/>
    </row>
    <row r="11" spans="1:10" ht="29.25" x14ac:dyDescent="0.25">
      <c r="A11" s="10" t="s">
        <v>102</v>
      </c>
      <c r="B11" s="10">
        <v>1</v>
      </c>
      <c r="C11" s="10">
        <v>1</v>
      </c>
      <c r="D11" s="2"/>
      <c r="E11" s="2"/>
    </row>
    <row r="12" spans="1:10" x14ac:dyDescent="0.25">
      <c r="A12" s="10" t="s">
        <v>220</v>
      </c>
      <c r="B12" s="10"/>
      <c r="C12" s="2"/>
      <c r="D12" s="2"/>
      <c r="E12" s="2"/>
    </row>
    <row r="13" spans="1:10" x14ac:dyDescent="0.25">
      <c r="A13" s="15" t="s">
        <v>55</v>
      </c>
      <c r="B13" s="10"/>
      <c r="C13" s="2"/>
      <c r="D13" s="2"/>
      <c r="E13" s="2"/>
    </row>
    <row r="14" spans="1:10" ht="15.75" x14ac:dyDescent="0.25">
      <c r="A14" s="14" t="s">
        <v>314</v>
      </c>
      <c r="B14" s="14">
        <v>1</v>
      </c>
      <c r="C14" s="10">
        <v>1</v>
      </c>
      <c r="D14" s="10">
        <v>1</v>
      </c>
      <c r="E14" s="2"/>
    </row>
    <row r="15" spans="1:10" x14ac:dyDescent="0.25">
      <c r="A15" s="10" t="s">
        <v>221</v>
      </c>
      <c r="B15" s="10"/>
      <c r="C15" s="10">
        <v>1</v>
      </c>
      <c r="D15" s="10">
        <v>1</v>
      </c>
      <c r="E15" s="2"/>
    </row>
    <row r="16" spans="1:10" ht="30.75" x14ac:dyDescent="0.25">
      <c r="A16" s="14" t="s">
        <v>315</v>
      </c>
      <c r="B16" s="14"/>
      <c r="C16" s="2"/>
      <c r="D16" s="2"/>
      <c r="E16" s="2"/>
    </row>
    <row r="17" spans="1:5" x14ac:dyDescent="0.25">
      <c r="A17" s="10" t="s">
        <v>348</v>
      </c>
      <c r="B17" s="10">
        <v>1</v>
      </c>
      <c r="C17" s="10">
        <v>1</v>
      </c>
      <c r="D17" s="2"/>
      <c r="E17" s="2"/>
    </row>
    <row r="18" spans="1:5" x14ac:dyDescent="0.25">
      <c r="A18" s="10" t="s">
        <v>222</v>
      </c>
      <c r="B18" s="10"/>
      <c r="C18" s="2"/>
      <c r="D18" s="2"/>
      <c r="E18" s="2"/>
    </row>
    <row r="19" spans="1:5" x14ac:dyDescent="0.25">
      <c r="A19" s="10" t="s">
        <v>223</v>
      </c>
      <c r="B19" s="10"/>
      <c r="C19" s="2"/>
      <c r="D19" s="2"/>
      <c r="E19" s="2"/>
    </row>
    <row r="20" spans="1:5" ht="30.75" x14ac:dyDescent="0.25">
      <c r="A20" s="16" t="s">
        <v>316</v>
      </c>
      <c r="B20" s="14">
        <v>1</v>
      </c>
      <c r="C20" s="10">
        <v>1</v>
      </c>
      <c r="D20" s="10">
        <v>1</v>
      </c>
      <c r="E20" s="2"/>
    </row>
    <row r="21" spans="1:5" ht="15.75" x14ac:dyDescent="0.25">
      <c r="A21" s="14" t="s">
        <v>317</v>
      </c>
      <c r="B21" s="14"/>
      <c r="C21" s="2"/>
      <c r="D21" s="2"/>
      <c r="E21" s="2"/>
    </row>
    <row r="22" spans="1:5" x14ac:dyDescent="0.25">
      <c r="A22" s="15" t="s">
        <v>179</v>
      </c>
      <c r="B22" s="10"/>
      <c r="C22" s="2"/>
      <c r="D22" s="2"/>
      <c r="E22" s="2"/>
    </row>
    <row r="23" spans="1:5" ht="15.75" x14ac:dyDescent="0.25">
      <c r="A23" s="16" t="s">
        <v>318</v>
      </c>
      <c r="B23" s="14">
        <v>1</v>
      </c>
      <c r="C23" s="10">
        <v>1</v>
      </c>
      <c r="D23" s="2"/>
      <c r="E23" s="2"/>
    </row>
    <row r="24" spans="1:5" x14ac:dyDescent="0.25">
      <c r="A24" s="15" t="s">
        <v>224</v>
      </c>
      <c r="B24" s="10">
        <v>1</v>
      </c>
      <c r="C24" s="10">
        <v>1</v>
      </c>
      <c r="D24" s="2"/>
      <c r="E24" s="2"/>
    </row>
    <row r="25" spans="1:5" ht="15.75" x14ac:dyDescent="0.25">
      <c r="A25" s="14" t="s">
        <v>319</v>
      </c>
      <c r="B25" s="14"/>
      <c r="C25" s="2"/>
      <c r="D25" s="2"/>
      <c r="E25" s="2"/>
    </row>
    <row r="26" spans="1:5" x14ac:dyDescent="0.25">
      <c r="A26" s="10" t="s">
        <v>225</v>
      </c>
      <c r="B26" s="10">
        <v>1</v>
      </c>
      <c r="C26" s="10">
        <v>1</v>
      </c>
      <c r="D26" s="10">
        <v>1</v>
      </c>
      <c r="E26" s="2"/>
    </row>
    <row r="27" spans="1:5" x14ac:dyDescent="0.25">
      <c r="A27" s="15" t="s">
        <v>226</v>
      </c>
      <c r="B27" s="10">
        <v>1</v>
      </c>
      <c r="C27" s="10">
        <v>1</v>
      </c>
      <c r="D27" s="2"/>
      <c r="E27" s="2"/>
    </row>
    <row r="28" spans="1:5" ht="29.25" x14ac:dyDescent="0.25">
      <c r="A28" s="10" t="s">
        <v>227</v>
      </c>
      <c r="B28" s="10"/>
      <c r="C28" s="2"/>
      <c r="D28" s="2"/>
      <c r="E28" s="2"/>
    </row>
    <row r="29" spans="1:5" ht="15.75" x14ac:dyDescent="0.25">
      <c r="A29" s="17" t="s">
        <v>10</v>
      </c>
      <c r="B29" s="14">
        <v>1</v>
      </c>
      <c r="C29" s="10">
        <v>1</v>
      </c>
      <c r="D29" s="2"/>
      <c r="E29" s="2"/>
    </row>
    <row r="30" spans="1:5" ht="29.25" x14ac:dyDescent="0.25">
      <c r="A30" s="11" t="s">
        <v>228</v>
      </c>
      <c r="B30" s="10"/>
      <c r="C30" s="2"/>
      <c r="D30" s="10">
        <v>1</v>
      </c>
      <c r="E30" s="2"/>
    </row>
    <row r="31" spans="1:5" x14ac:dyDescent="0.25">
      <c r="A31" s="13" t="s">
        <v>181</v>
      </c>
      <c r="B31" s="10"/>
      <c r="C31" s="2"/>
      <c r="D31" s="2"/>
      <c r="E31" s="2"/>
    </row>
    <row r="32" spans="1:5" x14ac:dyDescent="0.25">
      <c r="A32" s="10" t="s">
        <v>229</v>
      </c>
      <c r="B32" s="10">
        <v>1</v>
      </c>
      <c r="C32" s="10">
        <v>1</v>
      </c>
      <c r="D32" s="2"/>
      <c r="E32" s="2"/>
    </row>
    <row r="33" spans="1:5" ht="45.75" x14ac:dyDescent="0.25">
      <c r="A33" s="18" t="s">
        <v>320</v>
      </c>
      <c r="B33" s="14"/>
      <c r="C33" s="2"/>
      <c r="D33" s="2"/>
      <c r="E33" s="2"/>
    </row>
    <row r="34" spans="1:5" x14ac:dyDescent="0.25">
      <c r="A34" s="10" t="s">
        <v>185</v>
      </c>
      <c r="B34" s="10"/>
      <c r="C34" s="2"/>
      <c r="D34" s="2"/>
      <c r="E34" s="2"/>
    </row>
    <row r="35" spans="1:5" ht="30.75" x14ac:dyDescent="0.25">
      <c r="A35" s="14" t="s">
        <v>321</v>
      </c>
      <c r="B35" s="14"/>
      <c r="C35" s="2"/>
      <c r="D35" s="2"/>
      <c r="E35" s="2"/>
    </row>
    <row r="36" spans="1:5" ht="30.75" x14ac:dyDescent="0.25">
      <c r="A36" s="17" t="s">
        <v>322</v>
      </c>
      <c r="B36" s="14">
        <v>1</v>
      </c>
      <c r="C36" s="10">
        <v>1</v>
      </c>
      <c r="D36" s="2"/>
      <c r="E36" s="2"/>
    </row>
    <row r="37" spans="1:5" ht="15.75" x14ac:dyDescent="0.25">
      <c r="A37" s="14" t="s">
        <v>323</v>
      </c>
      <c r="B37" s="14">
        <v>1</v>
      </c>
      <c r="C37" s="10">
        <v>1</v>
      </c>
      <c r="D37" s="2"/>
      <c r="E37" s="2"/>
    </row>
    <row r="38" spans="1:5" ht="15.75" x14ac:dyDescent="0.25">
      <c r="A38" s="14" t="s">
        <v>324</v>
      </c>
      <c r="B38" s="14"/>
      <c r="C38" s="2"/>
      <c r="D38" s="2"/>
      <c r="E38" s="2"/>
    </row>
    <row r="39" spans="1:5" ht="29.25" x14ac:dyDescent="0.25">
      <c r="A39" s="12" t="s">
        <v>230</v>
      </c>
      <c r="B39" s="10"/>
      <c r="C39" s="2"/>
      <c r="D39" s="2"/>
      <c r="E39" s="2"/>
    </row>
    <row r="40" spans="1:5" ht="29.25" x14ac:dyDescent="0.25">
      <c r="A40" s="12" t="s">
        <v>231</v>
      </c>
      <c r="B40" s="10"/>
      <c r="C40" s="2"/>
      <c r="D40" s="2"/>
      <c r="E40" s="2"/>
    </row>
    <row r="41" spans="1:5" ht="15.75" x14ac:dyDescent="0.25">
      <c r="A41" s="14" t="s">
        <v>325</v>
      </c>
      <c r="B41" s="14">
        <v>1</v>
      </c>
      <c r="C41" s="10">
        <v>1</v>
      </c>
      <c r="D41" s="2"/>
      <c r="E41" s="2"/>
    </row>
    <row r="42" spans="1:5" ht="43.5" x14ac:dyDescent="0.25">
      <c r="A42" s="11" t="s">
        <v>232</v>
      </c>
      <c r="B42" s="10">
        <v>1</v>
      </c>
      <c r="C42" s="10">
        <v>1</v>
      </c>
      <c r="D42" s="10">
        <v>1</v>
      </c>
      <c r="E42" s="2"/>
    </row>
    <row r="43" spans="1:5" x14ac:dyDescent="0.25">
      <c r="A43" s="10" t="s">
        <v>233</v>
      </c>
      <c r="B43" s="10"/>
      <c r="C43" s="2"/>
      <c r="D43" s="2"/>
      <c r="E43" s="2"/>
    </row>
    <row r="44" spans="1:5" x14ac:dyDescent="0.25">
      <c r="A44" s="10" t="s">
        <v>110</v>
      </c>
      <c r="B44" s="10">
        <v>1</v>
      </c>
      <c r="C44" s="2"/>
      <c r="D44" s="2"/>
      <c r="E44" s="2"/>
    </row>
    <row r="45" spans="1:5" ht="29.25" x14ac:dyDescent="0.25">
      <c r="A45" s="10" t="s">
        <v>234</v>
      </c>
      <c r="B45" s="10"/>
      <c r="C45" s="2"/>
      <c r="D45" s="2"/>
      <c r="E45" s="2"/>
    </row>
    <row r="46" spans="1:5" ht="57.75" x14ac:dyDescent="0.25">
      <c r="A46" s="10" t="s">
        <v>235</v>
      </c>
      <c r="B46" s="10"/>
      <c r="C46" s="2"/>
      <c r="D46" s="10">
        <v>1</v>
      </c>
      <c r="E46" s="2"/>
    </row>
    <row r="47" spans="1:5" ht="29.25" x14ac:dyDescent="0.25">
      <c r="A47" s="13" t="s">
        <v>349</v>
      </c>
      <c r="B47" s="10">
        <v>1</v>
      </c>
      <c r="C47" s="2"/>
      <c r="D47" s="2"/>
      <c r="E47" s="2"/>
    </row>
    <row r="48" spans="1:5" x14ac:dyDescent="0.25">
      <c r="A48" s="10" t="s">
        <v>236</v>
      </c>
      <c r="B48" s="10"/>
      <c r="C48" s="10">
        <v>1</v>
      </c>
      <c r="D48" s="10">
        <v>1</v>
      </c>
      <c r="E48" s="2"/>
    </row>
    <row r="49" spans="1:5" ht="30.75" x14ac:dyDescent="0.25">
      <c r="A49" s="17" t="s">
        <v>326</v>
      </c>
      <c r="B49" s="14"/>
      <c r="C49" s="2"/>
      <c r="D49" s="2"/>
      <c r="E49" s="2"/>
    </row>
    <row r="50" spans="1:5" ht="29.25" x14ac:dyDescent="0.25">
      <c r="A50" s="10" t="s">
        <v>237</v>
      </c>
      <c r="B50" s="10"/>
      <c r="C50" s="2"/>
      <c r="D50" s="2"/>
      <c r="E50" s="2"/>
    </row>
    <row r="51" spans="1:5" x14ac:dyDescent="0.25">
      <c r="A51" s="10" t="s">
        <v>238</v>
      </c>
      <c r="B51" s="10"/>
      <c r="C51" s="2"/>
      <c r="D51" s="10">
        <v>1</v>
      </c>
      <c r="E51" s="2"/>
    </row>
    <row r="52" spans="1:5" x14ac:dyDescent="0.25">
      <c r="A52" s="10" t="s">
        <v>239</v>
      </c>
      <c r="B52" s="10">
        <v>1</v>
      </c>
      <c r="C52" s="10">
        <v>1</v>
      </c>
      <c r="D52" s="2"/>
      <c r="E52" s="2"/>
    </row>
    <row r="53" spans="1:5" x14ac:dyDescent="0.25">
      <c r="A53" s="10" t="s">
        <v>240</v>
      </c>
      <c r="B53" s="10"/>
      <c r="C53" s="2"/>
      <c r="D53" s="2"/>
      <c r="E53" s="2"/>
    </row>
    <row r="54" spans="1:5" ht="15.75" x14ac:dyDescent="0.25">
      <c r="A54" s="14" t="s">
        <v>327</v>
      </c>
      <c r="B54" s="14"/>
      <c r="C54" s="2"/>
      <c r="D54" s="2"/>
      <c r="E54" s="2"/>
    </row>
    <row r="55" spans="1:5" x14ac:dyDescent="0.25">
      <c r="A55" s="15" t="s">
        <v>350</v>
      </c>
      <c r="B55" s="10"/>
      <c r="C55" s="2"/>
      <c r="D55" s="2"/>
      <c r="E55" s="2"/>
    </row>
    <row r="56" spans="1:5" ht="45.75" x14ac:dyDescent="0.25">
      <c r="A56" s="14" t="s">
        <v>328</v>
      </c>
      <c r="B56" s="14"/>
      <c r="C56" s="2"/>
      <c r="D56" s="2"/>
      <c r="E56" s="2"/>
    </row>
    <row r="57" spans="1:5" x14ac:dyDescent="0.25">
      <c r="A57" s="10" t="s">
        <v>241</v>
      </c>
      <c r="B57" s="10"/>
      <c r="C57" s="2"/>
      <c r="D57" s="2"/>
      <c r="E57" s="2"/>
    </row>
    <row r="58" spans="1:5" x14ac:dyDescent="0.25">
      <c r="A58" s="10" t="s">
        <v>242</v>
      </c>
      <c r="B58" s="10"/>
      <c r="C58" s="2"/>
      <c r="D58" s="2"/>
      <c r="E58" s="2"/>
    </row>
    <row r="59" spans="1:5" x14ac:dyDescent="0.25">
      <c r="A59" s="10" t="s">
        <v>23</v>
      </c>
      <c r="B59" s="10"/>
      <c r="C59" s="2"/>
      <c r="D59" s="10">
        <v>1</v>
      </c>
      <c r="E59" s="2"/>
    </row>
    <row r="60" spans="1:5" x14ac:dyDescent="0.25">
      <c r="A60" s="11" t="s">
        <v>243</v>
      </c>
      <c r="B60" s="10">
        <v>1</v>
      </c>
      <c r="C60" s="10">
        <v>1</v>
      </c>
      <c r="D60" s="2"/>
      <c r="E60" s="2"/>
    </row>
    <row r="61" spans="1:5" x14ac:dyDescent="0.25">
      <c r="A61" s="13" t="s">
        <v>244</v>
      </c>
      <c r="B61" s="10">
        <v>1</v>
      </c>
      <c r="C61" s="10">
        <v>1</v>
      </c>
      <c r="D61" s="10">
        <v>1</v>
      </c>
      <c r="E61" s="2"/>
    </row>
    <row r="62" spans="1:5" x14ac:dyDescent="0.25">
      <c r="A62" s="12" t="s">
        <v>245</v>
      </c>
      <c r="B62" s="10"/>
      <c r="C62" s="2"/>
      <c r="D62" s="2"/>
      <c r="E62" s="2"/>
    </row>
    <row r="63" spans="1:5" x14ac:dyDescent="0.25">
      <c r="A63" s="19" t="s">
        <v>246</v>
      </c>
      <c r="B63" s="10">
        <v>1</v>
      </c>
      <c r="C63" s="10">
        <v>1</v>
      </c>
      <c r="D63" s="10">
        <v>1</v>
      </c>
      <c r="E63" s="2"/>
    </row>
    <row r="64" spans="1:5" x14ac:dyDescent="0.25">
      <c r="A64" s="20" t="s">
        <v>247</v>
      </c>
      <c r="B64" s="10"/>
      <c r="C64" s="2"/>
      <c r="D64" s="2"/>
      <c r="E64" s="2"/>
    </row>
    <row r="65" spans="1:5" x14ac:dyDescent="0.25">
      <c r="A65" s="10" t="s">
        <v>248</v>
      </c>
      <c r="B65" s="10">
        <v>1</v>
      </c>
      <c r="C65" s="10">
        <v>1</v>
      </c>
      <c r="D65" s="2"/>
      <c r="E65" s="2"/>
    </row>
    <row r="66" spans="1:5" ht="29.25" x14ac:dyDescent="0.25">
      <c r="A66" s="11" t="s">
        <v>249</v>
      </c>
      <c r="B66" s="10">
        <v>1</v>
      </c>
      <c r="C66" s="10">
        <v>1</v>
      </c>
      <c r="D66" s="2"/>
      <c r="E66" s="2"/>
    </row>
    <row r="67" spans="1:5" ht="15.75" x14ac:dyDescent="0.25">
      <c r="A67" s="16" t="s">
        <v>329</v>
      </c>
      <c r="B67" s="14"/>
      <c r="C67" s="2"/>
      <c r="D67" s="10">
        <v>1</v>
      </c>
      <c r="E67" s="2"/>
    </row>
    <row r="68" spans="1:5" ht="29.25" x14ac:dyDescent="0.25">
      <c r="A68" s="13" t="s">
        <v>250</v>
      </c>
      <c r="B68" s="10">
        <v>1</v>
      </c>
      <c r="C68" s="10">
        <v>1</v>
      </c>
      <c r="D68" s="2"/>
      <c r="E68" s="2"/>
    </row>
    <row r="69" spans="1:5" ht="29.25" x14ac:dyDescent="0.25">
      <c r="A69" s="10" t="s">
        <v>251</v>
      </c>
      <c r="B69" s="10"/>
      <c r="C69" s="2"/>
      <c r="D69" s="2"/>
      <c r="E69" s="2"/>
    </row>
    <row r="70" spans="1:5" x14ac:dyDescent="0.25">
      <c r="A70" s="10" t="s">
        <v>252</v>
      </c>
      <c r="B70" s="10"/>
      <c r="C70" s="2"/>
      <c r="D70" s="2"/>
      <c r="E70" s="2"/>
    </row>
    <row r="71" spans="1:5" x14ac:dyDescent="0.25">
      <c r="A71" s="10" t="s">
        <v>253</v>
      </c>
      <c r="B71" s="10">
        <v>1</v>
      </c>
      <c r="C71" s="10">
        <v>1</v>
      </c>
      <c r="D71" s="2"/>
      <c r="E71" s="2"/>
    </row>
    <row r="72" spans="1:5" x14ac:dyDescent="0.25">
      <c r="A72" s="10" t="s">
        <v>253</v>
      </c>
      <c r="B72" s="10">
        <v>1</v>
      </c>
      <c r="C72" s="10">
        <v>1</v>
      </c>
      <c r="D72" s="2"/>
      <c r="E72" s="2"/>
    </row>
    <row r="73" spans="1:5" x14ac:dyDescent="0.25">
      <c r="A73" s="10" t="s">
        <v>254</v>
      </c>
      <c r="B73" s="10"/>
      <c r="C73" s="2"/>
      <c r="D73" s="2"/>
      <c r="E73" s="2"/>
    </row>
    <row r="74" spans="1:5" ht="15.75" x14ac:dyDescent="0.25">
      <c r="A74" s="21" t="s">
        <v>330</v>
      </c>
      <c r="B74" s="14"/>
      <c r="C74" s="2"/>
      <c r="D74" s="2"/>
      <c r="E74" s="2"/>
    </row>
    <row r="75" spans="1:5" x14ac:dyDescent="0.25">
      <c r="A75" s="19" t="s">
        <v>255</v>
      </c>
      <c r="B75" s="10">
        <v>1</v>
      </c>
      <c r="C75" s="10">
        <v>1</v>
      </c>
      <c r="D75" s="2"/>
      <c r="E75" s="2"/>
    </row>
    <row r="76" spans="1:5" x14ac:dyDescent="0.25">
      <c r="A76" s="10" t="s">
        <v>256</v>
      </c>
      <c r="B76" s="10">
        <v>1</v>
      </c>
      <c r="C76" s="10">
        <v>1</v>
      </c>
      <c r="D76" s="2"/>
      <c r="E76" s="2"/>
    </row>
    <row r="77" spans="1:5" x14ac:dyDescent="0.25">
      <c r="A77" s="10" t="s">
        <v>257</v>
      </c>
      <c r="B77" s="10"/>
      <c r="C77" s="2"/>
      <c r="D77" s="2"/>
      <c r="E77" s="2"/>
    </row>
    <row r="78" spans="1:5" x14ac:dyDescent="0.25">
      <c r="A78" s="10" t="s">
        <v>70</v>
      </c>
      <c r="B78" s="10"/>
      <c r="C78" s="2"/>
      <c r="D78" s="2"/>
      <c r="E78" s="2"/>
    </row>
    <row r="79" spans="1:5" x14ac:dyDescent="0.25">
      <c r="A79" s="10" t="s">
        <v>258</v>
      </c>
      <c r="B79" s="10"/>
      <c r="C79" s="2"/>
      <c r="D79" s="2"/>
      <c r="E79" s="2"/>
    </row>
    <row r="80" spans="1:5" ht="15.75" x14ac:dyDescent="0.25">
      <c r="A80" s="14" t="s">
        <v>331</v>
      </c>
      <c r="B80" s="14">
        <v>1</v>
      </c>
      <c r="C80" s="10">
        <v>1</v>
      </c>
      <c r="D80" s="2"/>
      <c r="E80" s="2"/>
    </row>
    <row r="81" spans="1:5" ht="15.75" x14ac:dyDescent="0.25">
      <c r="A81" s="14" t="s">
        <v>332</v>
      </c>
      <c r="B81" s="14">
        <v>1</v>
      </c>
      <c r="C81" s="10">
        <v>1</v>
      </c>
      <c r="D81" s="2"/>
      <c r="E81" s="2"/>
    </row>
    <row r="82" spans="1:5" x14ac:dyDescent="0.25">
      <c r="A82" s="10" t="s">
        <v>128</v>
      </c>
      <c r="B82" s="10">
        <v>1</v>
      </c>
      <c r="C82" s="10">
        <v>1</v>
      </c>
      <c r="D82" s="2"/>
      <c r="E82" s="2"/>
    </row>
    <row r="83" spans="1:5" x14ac:dyDescent="0.25">
      <c r="A83" s="10" t="s">
        <v>259</v>
      </c>
      <c r="B83" s="10"/>
      <c r="C83" s="2"/>
      <c r="D83" s="2"/>
      <c r="E83" s="2"/>
    </row>
    <row r="84" spans="1:5" x14ac:dyDescent="0.25">
      <c r="A84" s="15" t="s">
        <v>260</v>
      </c>
      <c r="B84" s="10">
        <v>1</v>
      </c>
      <c r="C84" s="10">
        <v>1</v>
      </c>
      <c r="D84" s="2"/>
      <c r="E84" s="2"/>
    </row>
    <row r="85" spans="1:5" x14ac:dyDescent="0.25">
      <c r="A85" s="11" t="s">
        <v>261</v>
      </c>
      <c r="B85" s="10"/>
      <c r="C85" s="2"/>
      <c r="D85" s="2"/>
      <c r="E85" s="2"/>
    </row>
    <row r="86" spans="1:5" x14ac:dyDescent="0.25">
      <c r="A86" s="10" t="s">
        <v>194</v>
      </c>
      <c r="B86" s="10"/>
      <c r="C86" s="2"/>
      <c r="D86" s="2"/>
      <c r="E86" s="2"/>
    </row>
    <row r="87" spans="1:5" x14ac:dyDescent="0.25">
      <c r="A87" s="11" t="s">
        <v>262</v>
      </c>
      <c r="B87" s="10">
        <v>1</v>
      </c>
      <c r="C87" s="10">
        <v>1</v>
      </c>
      <c r="D87" s="10">
        <v>1</v>
      </c>
      <c r="E87" s="2"/>
    </row>
    <row r="88" spans="1:5" ht="15.75" x14ac:dyDescent="0.25">
      <c r="A88" s="14" t="s">
        <v>333</v>
      </c>
      <c r="B88" s="14">
        <v>1</v>
      </c>
      <c r="C88" s="10">
        <v>1</v>
      </c>
      <c r="D88" s="10">
        <v>1</v>
      </c>
      <c r="E88" s="2"/>
    </row>
    <row r="89" spans="1:5" x14ac:dyDescent="0.25">
      <c r="A89" s="10" t="s">
        <v>263</v>
      </c>
      <c r="B89" s="10"/>
      <c r="C89" s="2"/>
      <c r="D89" s="2"/>
      <c r="E89" s="2"/>
    </row>
    <row r="90" spans="1:5" x14ac:dyDescent="0.25">
      <c r="A90" s="10" t="s">
        <v>264</v>
      </c>
      <c r="B90" s="10">
        <v>1</v>
      </c>
      <c r="C90" s="2"/>
      <c r="D90" s="2"/>
      <c r="E90" s="2"/>
    </row>
    <row r="91" spans="1:5" ht="15.75" x14ac:dyDescent="0.25">
      <c r="A91" s="16" t="s">
        <v>334</v>
      </c>
      <c r="B91" s="14">
        <v>1</v>
      </c>
      <c r="C91" s="2"/>
      <c r="D91" s="2"/>
      <c r="E91" s="2"/>
    </row>
    <row r="92" spans="1:5" ht="15.75" x14ac:dyDescent="0.25">
      <c r="A92" s="14" t="s">
        <v>335</v>
      </c>
      <c r="B92" s="14">
        <v>1</v>
      </c>
      <c r="C92" s="10">
        <v>1</v>
      </c>
      <c r="D92" s="10">
        <v>1</v>
      </c>
      <c r="E92" s="2"/>
    </row>
    <row r="93" spans="1:5" x14ac:dyDescent="0.25">
      <c r="A93" s="10" t="s">
        <v>265</v>
      </c>
      <c r="B93" s="10">
        <v>1</v>
      </c>
      <c r="C93" s="2"/>
      <c r="D93" s="2"/>
      <c r="E93" s="2"/>
    </row>
    <row r="94" spans="1:5" x14ac:dyDescent="0.25">
      <c r="A94" s="10" t="s">
        <v>266</v>
      </c>
      <c r="B94" s="10">
        <v>1</v>
      </c>
      <c r="C94" s="10">
        <v>1</v>
      </c>
      <c r="D94" s="10">
        <v>1</v>
      </c>
      <c r="E94" s="2"/>
    </row>
    <row r="95" spans="1:5" ht="30.75" x14ac:dyDescent="0.25">
      <c r="A95" s="14" t="s">
        <v>336</v>
      </c>
      <c r="B95" s="14">
        <v>1</v>
      </c>
      <c r="C95" s="2"/>
      <c r="D95" s="2"/>
      <c r="E95" s="2"/>
    </row>
    <row r="96" spans="1:5" ht="15.75" x14ac:dyDescent="0.25">
      <c r="A96" s="16" t="s">
        <v>132</v>
      </c>
      <c r="B96" s="14">
        <v>1</v>
      </c>
      <c r="C96" s="10">
        <v>1</v>
      </c>
      <c r="D96" s="2"/>
      <c r="E96" s="2"/>
    </row>
    <row r="97" spans="1:5" ht="15.75" x14ac:dyDescent="0.25">
      <c r="A97" s="14" t="s">
        <v>337</v>
      </c>
      <c r="B97" s="14">
        <v>1</v>
      </c>
      <c r="C97" s="10">
        <v>1</v>
      </c>
      <c r="D97" s="10">
        <v>1</v>
      </c>
      <c r="E97" s="2"/>
    </row>
    <row r="98" spans="1:5" ht="29.25" x14ac:dyDescent="0.25">
      <c r="A98" s="10" t="s">
        <v>267</v>
      </c>
      <c r="B98" s="10"/>
      <c r="C98" s="2"/>
      <c r="D98" s="2"/>
      <c r="E98" s="2"/>
    </row>
    <row r="99" spans="1:5" ht="15.75" x14ac:dyDescent="0.25">
      <c r="A99" s="22" t="s">
        <v>35</v>
      </c>
      <c r="B99" s="14"/>
      <c r="C99" s="2"/>
      <c r="D99" s="2"/>
      <c r="E99" s="2"/>
    </row>
    <row r="100" spans="1:5" x14ac:dyDescent="0.25">
      <c r="A100" s="19" t="s">
        <v>268</v>
      </c>
      <c r="B100" s="10">
        <v>1</v>
      </c>
      <c r="C100" s="2"/>
      <c r="D100" s="2"/>
      <c r="E100" s="2"/>
    </row>
    <row r="101" spans="1:5" x14ac:dyDescent="0.25">
      <c r="A101" s="10" t="s">
        <v>269</v>
      </c>
      <c r="B101" s="10"/>
      <c r="C101" s="2"/>
      <c r="D101" s="2"/>
      <c r="E101" s="2"/>
    </row>
    <row r="102" spans="1:5" x14ac:dyDescent="0.25">
      <c r="A102" s="10" t="s">
        <v>270</v>
      </c>
      <c r="B102" s="10"/>
      <c r="C102" s="2"/>
      <c r="D102" s="2"/>
      <c r="E102" s="2"/>
    </row>
    <row r="103" spans="1:5" x14ac:dyDescent="0.25">
      <c r="A103" s="10" t="s">
        <v>271</v>
      </c>
      <c r="B103" s="10">
        <v>1</v>
      </c>
      <c r="C103" s="10">
        <v>1</v>
      </c>
      <c r="D103" s="2"/>
      <c r="E103" s="2"/>
    </row>
    <row r="104" spans="1:5" x14ac:dyDescent="0.25">
      <c r="A104" s="10" t="s">
        <v>76</v>
      </c>
      <c r="B104" s="10">
        <v>1</v>
      </c>
      <c r="C104" s="10">
        <v>1</v>
      </c>
      <c r="D104" s="2"/>
      <c r="E104" s="2"/>
    </row>
    <row r="105" spans="1:5" x14ac:dyDescent="0.25">
      <c r="A105" s="11" t="s">
        <v>272</v>
      </c>
      <c r="B105" s="10"/>
      <c r="C105" s="2"/>
      <c r="D105" s="2"/>
      <c r="E105" s="2"/>
    </row>
    <row r="106" spans="1:5" x14ac:dyDescent="0.25">
      <c r="A106" s="10" t="s">
        <v>273</v>
      </c>
      <c r="B106" s="10">
        <v>1</v>
      </c>
      <c r="C106" s="10">
        <v>1</v>
      </c>
      <c r="D106" s="2"/>
      <c r="E106" s="2"/>
    </row>
    <row r="107" spans="1:5" ht="15.75" x14ac:dyDescent="0.25">
      <c r="A107" s="14" t="s">
        <v>273</v>
      </c>
      <c r="B107" s="14">
        <v>1</v>
      </c>
      <c r="C107" s="10">
        <v>1</v>
      </c>
      <c r="D107" s="2"/>
      <c r="E107" s="2"/>
    </row>
    <row r="108" spans="1:5" x14ac:dyDescent="0.25">
      <c r="A108" s="15" t="s">
        <v>274</v>
      </c>
      <c r="B108" s="10"/>
      <c r="C108" s="2"/>
      <c r="D108" s="10">
        <v>1</v>
      </c>
      <c r="E108" s="2"/>
    </row>
    <row r="109" spans="1:5" ht="15.75" x14ac:dyDescent="0.25">
      <c r="A109" s="14" t="s">
        <v>338</v>
      </c>
      <c r="B109" s="14">
        <v>1</v>
      </c>
      <c r="C109" s="10">
        <v>1</v>
      </c>
      <c r="D109" s="2"/>
      <c r="E109" s="2"/>
    </row>
    <row r="110" spans="1:5" ht="29.25" x14ac:dyDescent="0.25">
      <c r="A110" s="19" t="s">
        <v>275</v>
      </c>
      <c r="B110" s="10"/>
      <c r="C110" s="2"/>
      <c r="D110" s="2"/>
      <c r="E110" s="2"/>
    </row>
    <row r="111" spans="1:5" ht="29.25" x14ac:dyDescent="0.25">
      <c r="A111" s="10" t="s">
        <v>276</v>
      </c>
      <c r="B111" s="10">
        <v>1</v>
      </c>
      <c r="C111" s="2"/>
      <c r="D111" s="2"/>
      <c r="E111" s="2"/>
    </row>
    <row r="112" spans="1:5" ht="15.75" x14ac:dyDescent="0.25">
      <c r="A112" s="14" t="s">
        <v>339</v>
      </c>
      <c r="B112" s="14">
        <v>1</v>
      </c>
      <c r="C112" s="10">
        <v>1</v>
      </c>
      <c r="D112" s="2"/>
      <c r="E112" s="2"/>
    </row>
    <row r="113" spans="1:5" x14ac:dyDescent="0.25">
      <c r="A113" s="15" t="s">
        <v>277</v>
      </c>
      <c r="B113" s="10">
        <v>1</v>
      </c>
      <c r="C113" s="2"/>
      <c r="D113" s="2"/>
      <c r="E113" s="2"/>
    </row>
    <row r="114" spans="1:5" x14ac:dyDescent="0.25">
      <c r="A114" s="10" t="s">
        <v>278</v>
      </c>
      <c r="B114" s="10"/>
      <c r="C114" s="2"/>
      <c r="D114" s="2"/>
      <c r="E114" s="2"/>
    </row>
    <row r="115" spans="1:5" x14ac:dyDescent="0.25">
      <c r="A115" s="13" t="s">
        <v>279</v>
      </c>
      <c r="B115" s="10"/>
      <c r="C115" s="2"/>
      <c r="D115" s="2"/>
      <c r="E115" s="2"/>
    </row>
    <row r="116" spans="1:5" x14ac:dyDescent="0.25">
      <c r="A116" s="10" t="s">
        <v>280</v>
      </c>
      <c r="B116" s="10">
        <v>1</v>
      </c>
      <c r="C116" s="10">
        <v>1</v>
      </c>
      <c r="D116" s="2"/>
      <c r="E116" s="2"/>
    </row>
    <row r="117" spans="1:5" x14ac:dyDescent="0.25">
      <c r="A117" s="10" t="s">
        <v>281</v>
      </c>
      <c r="B117" s="10"/>
      <c r="C117" s="2"/>
      <c r="D117" s="2"/>
      <c r="E117" s="2"/>
    </row>
    <row r="118" spans="1:5" x14ac:dyDescent="0.25">
      <c r="A118" s="11" t="s">
        <v>282</v>
      </c>
      <c r="B118" s="10"/>
      <c r="C118" s="2"/>
      <c r="D118" s="2"/>
      <c r="E118" s="2"/>
    </row>
    <row r="119" spans="1:5" x14ac:dyDescent="0.25">
      <c r="A119" s="11" t="s">
        <v>283</v>
      </c>
      <c r="B119" s="10"/>
      <c r="C119" s="2"/>
      <c r="D119" s="2"/>
      <c r="E119" s="2"/>
    </row>
    <row r="120" spans="1:5" x14ac:dyDescent="0.25">
      <c r="A120" s="11" t="s">
        <v>284</v>
      </c>
      <c r="B120" s="10">
        <v>1</v>
      </c>
      <c r="C120" s="10">
        <v>1</v>
      </c>
      <c r="D120" s="2"/>
      <c r="E120" s="2"/>
    </row>
    <row r="121" spans="1:5" x14ac:dyDescent="0.25">
      <c r="A121" s="11" t="s">
        <v>284</v>
      </c>
      <c r="B121" s="10">
        <v>1</v>
      </c>
      <c r="C121" s="10">
        <v>1</v>
      </c>
      <c r="D121" s="2"/>
      <c r="E121" s="2"/>
    </row>
    <row r="122" spans="1:5" ht="30.75" x14ac:dyDescent="0.25">
      <c r="A122" s="14" t="s">
        <v>340</v>
      </c>
      <c r="B122" s="14"/>
      <c r="C122" s="2"/>
      <c r="D122" s="2"/>
      <c r="E122" s="2"/>
    </row>
    <row r="123" spans="1:5" x14ac:dyDescent="0.25">
      <c r="A123" s="10" t="s">
        <v>285</v>
      </c>
      <c r="B123" s="10">
        <v>1</v>
      </c>
      <c r="C123" s="10">
        <v>1</v>
      </c>
      <c r="D123" s="2"/>
      <c r="E123" s="2"/>
    </row>
    <row r="124" spans="1:5" x14ac:dyDescent="0.25">
      <c r="A124" s="15" t="s">
        <v>41</v>
      </c>
      <c r="B124" s="10"/>
      <c r="C124" s="2"/>
      <c r="D124" s="2"/>
      <c r="E124" s="2"/>
    </row>
    <row r="125" spans="1:5" x14ac:dyDescent="0.25">
      <c r="A125" s="10" t="s">
        <v>286</v>
      </c>
      <c r="B125" s="10">
        <v>1</v>
      </c>
      <c r="C125" s="10">
        <v>1</v>
      </c>
      <c r="D125" s="2"/>
      <c r="E125" s="2"/>
    </row>
    <row r="126" spans="1:5" ht="15.75" x14ac:dyDescent="0.25">
      <c r="A126" s="17" t="s">
        <v>341</v>
      </c>
      <c r="B126" s="14">
        <v>1</v>
      </c>
      <c r="C126" s="10">
        <v>1</v>
      </c>
      <c r="D126" s="10">
        <v>1</v>
      </c>
      <c r="E126" s="2"/>
    </row>
    <row r="127" spans="1:5" ht="15.75" x14ac:dyDescent="0.25">
      <c r="A127" s="14" t="s">
        <v>342</v>
      </c>
      <c r="B127" s="14">
        <v>1</v>
      </c>
      <c r="C127" s="10">
        <v>1</v>
      </c>
      <c r="D127" s="2"/>
      <c r="E127" s="2"/>
    </row>
    <row r="128" spans="1:5" ht="29.25" x14ac:dyDescent="0.25">
      <c r="A128" s="10" t="s">
        <v>287</v>
      </c>
      <c r="B128" s="10"/>
      <c r="C128" s="2"/>
      <c r="D128" s="2"/>
      <c r="E128" s="2"/>
    </row>
    <row r="129" spans="1:5" ht="29.25" x14ac:dyDescent="0.25">
      <c r="A129" s="10" t="s">
        <v>288</v>
      </c>
      <c r="B129" s="10"/>
      <c r="C129" s="2"/>
      <c r="D129" s="2"/>
      <c r="E129" s="2"/>
    </row>
    <row r="130" spans="1:5" x14ac:dyDescent="0.25">
      <c r="A130" s="10" t="s">
        <v>289</v>
      </c>
      <c r="B130" s="10"/>
      <c r="C130" s="2"/>
      <c r="D130" s="2"/>
      <c r="E130" s="2"/>
    </row>
    <row r="131" spans="1:5" x14ac:dyDescent="0.25">
      <c r="A131" s="10" t="s">
        <v>351</v>
      </c>
      <c r="B131" s="10"/>
      <c r="C131" s="2"/>
      <c r="D131" s="2"/>
      <c r="E131" s="2"/>
    </row>
    <row r="132" spans="1:5" x14ac:dyDescent="0.25">
      <c r="A132" s="11" t="s">
        <v>290</v>
      </c>
      <c r="B132" s="10"/>
      <c r="C132" s="2"/>
      <c r="D132" s="2"/>
      <c r="E132" s="2"/>
    </row>
    <row r="133" spans="1:5" ht="30.75" x14ac:dyDescent="0.25">
      <c r="A133" s="18" t="s">
        <v>291</v>
      </c>
      <c r="B133" s="14">
        <v>1</v>
      </c>
      <c r="C133" s="10">
        <v>1</v>
      </c>
      <c r="D133" s="10">
        <v>1</v>
      </c>
      <c r="E133" s="2"/>
    </row>
    <row r="134" spans="1:5" x14ac:dyDescent="0.25">
      <c r="A134" s="10" t="s">
        <v>292</v>
      </c>
      <c r="B134" s="10"/>
      <c r="C134" s="2"/>
      <c r="D134" s="2"/>
      <c r="E134" s="2"/>
    </row>
    <row r="135" spans="1:5" ht="29.25" x14ac:dyDescent="0.25">
      <c r="A135" s="10" t="s">
        <v>293</v>
      </c>
      <c r="B135" s="10"/>
      <c r="C135" s="2"/>
      <c r="D135" s="2"/>
      <c r="E135" s="2"/>
    </row>
    <row r="136" spans="1:5" x14ac:dyDescent="0.25">
      <c r="A136" s="10" t="s">
        <v>294</v>
      </c>
      <c r="B136" s="10"/>
      <c r="C136" s="2"/>
      <c r="D136" s="2"/>
      <c r="E136" s="2"/>
    </row>
    <row r="137" spans="1:5" x14ac:dyDescent="0.25">
      <c r="A137" s="10" t="s">
        <v>295</v>
      </c>
      <c r="B137" s="10">
        <v>1</v>
      </c>
      <c r="C137" s="10">
        <v>1</v>
      </c>
      <c r="D137" s="2"/>
      <c r="E137" s="2"/>
    </row>
    <row r="138" spans="1:5" x14ac:dyDescent="0.25">
      <c r="A138" s="10" t="s">
        <v>296</v>
      </c>
      <c r="B138" s="10"/>
      <c r="C138" s="2"/>
      <c r="D138" s="2"/>
      <c r="E138" s="2"/>
    </row>
    <row r="139" spans="1:5" ht="29.25" x14ac:dyDescent="0.25">
      <c r="A139" s="19" t="s">
        <v>297</v>
      </c>
      <c r="B139" s="10"/>
      <c r="C139" s="2"/>
      <c r="D139" s="2"/>
      <c r="E139" s="2"/>
    </row>
    <row r="140" spans="1:5" x14ac:dyDescent="0.25">
      <c r="A140" s="11" t="s">
        <v>298</v>
      </c>
      <c r="B140" s="10">
        <v>1</v>
      </c>
      <c r="C140" s="10">
        <v>1</v>
      </c>
      <c r="D140" s="2"/>
      <c r="E140" s="2"/>
    </row>
    <row r="141" spans="1:5" ht="29.25" x14ac:dyDescent="0.25">
      <c r="A141" s="10" t="s">
        <v>88</v>
      </c>
      <c r="B141" s="10">
        <v>1</v>
      </c>
      <c r="C141" s="2"/>
      <c r="D141" s="2"/>
      <c r="E141" s="2"/>
    </row>
    <row r="142" spans="1:5" x14ac:dyDescent="0.25">
      <c r="A142" s="10" t="s">
        <v>89</v>
      </c>
      <c r="B142" s="10">
        <v>1</v>
      </c>
      <c r="C142" s="10">
        <v>1</v>
      </c>
      <c r="D142" s="10">
        <v>1</v>
      </c>
      <c r="E142" s="2"/>
    </row>
    <row r="143" spans="1:5" x14ac:dyDescent="0.25">
      <c r="A143" s="10" t="s">
        <v>299</v>
      </c>
      <c r="B143" s="10"/>
      <c r="C143" s="2"/>
      <c r="D143" s="10">
        <v>1</v>
      </c>
      <c r="E143" s="2"/>
    </row>
    <row r="144" spans="1:5" x14ac:dyDescent="0.25">
      <c r="A144" s="10" t="s">
        <v>300</v>
      </c>
      <c r="B144" s="10">
        <v>1</v>
      </c>
      <c r="C144" s="2"/>
      <c r="D144" s="2"/>
      <c r="E144" s="2"/>
    </row>
    <row r="145" spans="1:5" x14ac:dyDescent="0.25">
      <c r="A145" s="10" t="s">
        <v>301</v>
      </c>
      <c r="B145" s="10"/>
      <c r="C145" s="2"/>
      <c r="D145" s="2"/>
      <c r="E145" s="2"/>
    </row>
    <row r="146" spans="1:5" ht="30.75" x14ac:dyDescent="0.25">
      <c r="A146" s="14" t="s">
        <v>343</v>
      </c>
      <c r="B146" s="14"/>
      <c r="C146" s="10"/>
      <c r="D146" s="2"/>
      <c r="E146" s="2"/>
    </row>
    <row r="147" spans="1:5" x14ac:dyDescent="0.25">
      <c r="A147" s="10" t="s">
        <v>302</v>
      </c>
      <c r="B147" s="10"/>
      <c r="C147" s="2"/>
      <c r="D147" s="2"/>
      <c r="E147" s="2"/>
    </row>
    <row r="148" spans="1:5" ht="29.25" x14ac:dyDescent="0.25">
      <c r="A148" s="10" t="s">
        <v>94</v>
      </c>
      <c r="B148" s="10">
        <v>1</v>
      </c>
      <c r="C148" s="10">
        <v>1</v>
      </c>
      <c r="D148" s="10">
        <v>1</v>
      </c>
      <c r="E148" s="2"/>
    </row>
    <row r="149" spans="1:5" x14ac:dyDescent="0.25">
      <c r="A149" s="12" t="s">
        <v>46</v>
      </c>
      <c r="B149" s="10"/>
      <c r="C149" s="2"/>
      <c r="D149" s="2"/>
      <c r="E149" s="2"/>
    </row>
    <row r="150" spans="1:5" x14ac:dyDescent="0.25">
      <c r="A150" s="10" t="s">
        <v>303</v>
      </c>
      <c r="B150" s="10">
        <v>1</v>
      </c>
      <c r="C150" s="10">
        <v>1</v>
      </c>
      <c r="D150" s="2"/>
      <c r="E150" s="2"/>
    </row>
    <row r="151" spans="1:5" x14ac:dyDescent="0.25">
      <c r="A151" s="10" t="s">
        <v>304</v>
      </c>
      <c r="B151" s="10">
        <v>1</v>
      </c>
      <c r="C151" s="10">
        <v>1</v>
      </c>
      <c r="D151" s="2"/>
      <c r="E151" s="2"/>
    </row>
    <row r="152" spans="1:5" ht="29.25" x14ac:dyDescent="0.25">
      <c r="A152" s="10" t="s">
        <v>305</v>
      </c>
      <c r="B152" s="10"/>
      <c r="C152" s="2"/>
      <c r="D152" s="2"/>
      <c r="E152" s="2"/>
    </row>
    <row r="153" spans="1:5" x14ac:dyDescent="0.25">
      <c r="A153" s="15" t="s">
        <v>306</v>
      </c>
      <c r="B153" s="10">
        <v>1</v>
      </c>
      <c r="C153" s="10">
        <v>1</v>
      </c>
      <c r="D153" s="10">
        <v>1</v>
      </c>
      <c r="E153" s="2"/>
    </row>
    <row r="154" spans="1:5" x14ac:dyDescent="0.25">
      <c r="A154" s="10" t="s">
        <v>172</v>
      </c>
      <c r="B154" s="10"/>
      <c r="C154" s="2"/>
      <c r="D154" s="2"/>
      <c r="E154" s="2"/>
    </row>
    <row r="155" spans="1:5" ht="30.75" x14ac:dyDescent="0.25">
      <c r="A155" s="14" t="s">
        <v>48</v>
      </c>
      <c r="B155" s="14"/>
      <c r="C155" s="2"/>
      <c r="D155" s="2"/>
      <c r="E155" s="2"/>
    </row>
    <row r="156" spans="1:5" x14ac:dyDescent="0.25">
      <c r="A156" s="10" t="s">
        <v>307</v>
      </c>
      <c r="B156" s="10"/>
      <c r="C156" s="2"/>
      <c r="D156" s="2"/>
      <c r="E156" s="2"/>
    </row>
    <row r="157" spans="1:5" x14ac:dyDescent="0.25">
      <c r="A157" s="13" t="s">
        <v>308</v>
      </c>
      <c r="B157" s="10"/>
      <c r="C157" s="2"/>
      <c r="D157" s="2"/>
      <c r="E157" s="2"/>
    </row>
    <row r="158" spans="1:5" ht="15.75" x14ac:dyDescent="0.25">
      <c r="A158" s="18" t="s">
        <v>344</v>
      </c>
      <c r="B158" s="14">
        <v>1</v>
      </c>
      <c r="C158" s="10">
        <v>1</v>
      </c>
      <c r="D158" s="2"/>
      <c r="E158" s="2"/>
    </row>
    <row r="159" spans="1:5" x14ac:dyDescent="0.25">
      <c r="A159" s="19" t="s">
        <v>309</v>
      </c>
      <c r="B159" s="10"/>
      <c r="C159" s="2"/>
      <c r="D159" s="2"/>
      <c r="E159" s="2"/>
    </row>
    <row r="160" spans="1:5" x14ac:dyDescent="0.25">
      <c r="A160" s="11" t="s">
        <v>310</v>
      </c>
      <c r="B160" s="10">
        <v>1</v>
      </c>
      <c r="C160" s="10">
        <v>1</v>
      </c>
      <c r="D160" s="2"/>
      <c r="E160" s="2"/>
    </row>
    <row r="161" spans="1:5" x14ac:dyDescent="0.25">
      <c r="A161" s="10" t="s">
        <v>311</v>
      </c>
      <c r="B161" s="10">
        <v>1</v>
      </c>
      <c r="C161" s="2"/>
      <c r="D161" s="2"/>
      <c r="E161" s="2"/>
    </row>
    <row r="162" spans="1:5" x14ac:dyDescent="0.25">
      <c r="A162" s="10" t="s">
        <v>312</v>
      </c>
      <c r="B162" s="10">
        <v>1</v>
      </c>
      <c r="C162" s="10">
        <v>1</v>
      </c>
      <c r="D162" s="2"/>
      <c r="E162" s="2"/>
    </row>
    <row r="163" spans="1:5" ht="15.75" x14ac:dyDescent="0.25">
      <c r="A163" s="14" t="s">
        <v>345</v>
      </c>
      <c r="B163" s="14"/>
      <c r="C163" s="2"/>
      <c r="D163" s="2"/>
      <c r="E163" s="2"/>
    </row>
    <row r="164" spans="1:5" ht="29.25" x14ac:dyDescent="0.25">
      <c r="A164" s="10" t="s">
        <v>313</v>
      </c>
      <c r="B164" s="10"/>
      <c r="C164" s="2"/>
      <c r="D164" s="2"/>
      <c r="E164" s="2"/>
    </row>
    <row r="165" spans="1:5" ht="15.75" x14ac:dyDescent="0.25">
      <c r="A165" s="17" t="s">
        <v>346</v>
      </c>
      <c r="B165" s="14"/>
      <c r="C165" s="2"/>
      <c r="D165" s="2"/>
      <c r="E165" s="2"/>
    </row>
    <row r="166" spans="1:5" ht="15.75" x14ac:dyDescent="0.25">
      <c r="A166" s="17" t="s">
        <v>347</v>
      </c>
      <c r="B166" s="14">
        <v>1</v>
      </c>
      <c r="C166" s="10">
        <v>1</v>
      </c>
      <c r="D166" s="2"/>
      <c r="E166" s="2"/>
    </row>
    <row r="167" spans="1:5" x14ac:dyDescent="0.25">
      <c r="A167" s="11" t="s">
        <v>352</v>
      </c>
      <c r="B167" s="10"/>
      <c r="C167" s="2"/>
      <c r="D167" s="2"/>
      <c r="E167" s="2"/>
    </row>
    <row r="168" spans="1:5" x14ac:dyDescent="0.25">
      <c r="A168" s="11" t="s">
        <v>353</v>
      </c>
      <c r="B168" s="10"/>
      <c r="C168" s="2"/>
      <c r="D168" s="2"/>
      <c r="E168" s="2"/>
    </row>
    <row r="169" spans="1:5" x14ac:dyDescent="0.25">
      <c r="B169" s="2">
        <f>SUM(B2:B168)</f>
        <v>76</v>
      </c>
      <c r="C169" s="2">
        <f>SUM(C2:C168)</f>
        <v>66</v>
      </c>
      <c r="D169" s="2">
        <f>SUM(D2:D168)</f>
        <v>25</v>
      </c>
    </row>
  </sheetData>
  <autoFilter ref="A1:D168" xr:uid="{6CAC7E75-24A4-42F5-ACD8-98BE43FFA69D}">
    <sortState xmlns:xlrd2="http://schemas.microsoft.com/office/spreadsheetml/2017/richdata2" ref="A2:D169">
      <sortCondition ref="A1"/>
    </sortState>
  </autoFilter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B9BB-BBFB-45B9-ADA5-44291868FF9E}">
  <dimension ref="A1:J121"/>
  <sheetViews>
    <sheetView zoomScaleNormal="100" workbookViewId="0">
      <selection activeCell="H21" sqref="H21"/>
    </sheetView>
  </sheetViews>
  <sheetFormatPr defaultRowHeight="15" x14ac:dyDescent="0.25"/>
  <cols>
    <col min="1" max="1" width="24" customWidth="1"/>
    <col min="2" max="2" width="12.85546875" customWidth="1"/>
    <col min="3" max="3" width="15.5703125" bestFit="1" customWidth="1"/>
    <col min="4" max="4" width="15.140625" bestFit="1" customWidth="1"/>
    <col min="5" max="5" width="13.85546875" customWidth="1"/>
    <col min="7" max="7" width="15" bestFit="1" customWidth="1"/>
    <col min="8" max="8" width="22.85546875" bestFit="1" customWidth="1"/>
    <col min="9" max="9" width="22.5703125" bestFit="1" customWidth="1"/>
    <col min="10" max="10" width="21.5703125" bestFit="1" customWidth="1"/>
  </cols>
  <sheetData>
    <row r="1" spans="1:10" x14ac:dyDescent="0.25">
      <c r="A1" s="96" t="s">
        <v>52</v>
      </c>
      <c r="B1" s="94" t="s">
        <v>211</v>
      </c>
      <c r="C1" s="94" t="s">
        <v>0</v>
      </c>
      <c r="D1" s="94" t="s">
        <v>1</v>
      </c>
      <c r="E1" s="94" t="s">
        <v>642</v>
      </c>
      <c r="G1" t="s">
        <v>354</v>
      </c>
      <c r="H1" t="s">
        <v>355</v>
      </c>
      <c r="I1" t="s">
        <v>356</v>
      </c>
      <c r="J1" t="s">
        <v>644</v>
      </c>
    </row>
    <row r="2" spans="1:10" ht="21" customHeight="1" x14ac:dyDescent="0.25">
      <c r="A2" s="23" t="s">
        <v>217</v>
      </c>
      <c r="B2" s="2"/>
      <c r="C2" s="2"/>
      <c r="D2" s="2"/>
      <c r="E2" s="2"/>
      <c r="G2" s="97">
        <v>59</v>
      </c>
      <c r="H2" s="97">
        <v>59</v>
      </c>
      <c r="I2" s="97">
        <v>18</v>
      </c>
      <c r="J2" s="97">
        <v>3</v>
      </c>
    </row>
    <row r="3" spans="1:10" x14ac:dyDescent="0.25">
      <c r="A3" s="24" t="s">
        <v>357</v>
      </c>
      <c r="B3" s="10">
        <v>1</v>
      </c>
      <c r="C3" s="10">
        <v>1</v>
      </c>
      <c r="D3" s="10">
        <v>1</v>
      </c>
      <c r="E3" s="2"/>
    </row>
    <row r="4" spans="1:10" x14ac:dyDescent="0.25">
      <c r="A4" s="23" t="s">
        <v>423</v>
      </c>
      <c r="B4" s="2"/>
      <c r="C4" s="2"/>
      <c r="D4" s="2"/>
      <c r="E4" s="2"/>
    </row>
    <row r="5" spans="1:10" x14ac:dyDescent="0.25">
      <c r="A5" s="23" t="s">
        <v>54</v>
      </c>
      <c r="B5" s="2"/>
      <c r="C5" s="2"/>
      <c r="D5" s="2"/>
      <c r="E5" s="2"/>
    </row>
    <row r="6" spans="1:10" x14ac:dyDescent="0.25">
      <c r="A6" s="24" t="s">
        <v>358</v>
      </c>
      <c r="B6" s="2"/>
      <c r="C6" s="2"/>
      <c r="D6" s="2"/>
      <c r="E6" s="2"/>
    </row>
    <row r="7" spans="1:10" x14ac:dyDescent="0.25">
      <c r="A7" s="23" t="s">
        <v>424</v>
      </c>
      <c r="B7" s="10">
        <v>1</v>
      </c>
      <c r="C7" s="10">
        <v>1</v>
      </c>
      <c r="D7" s="2"/>
      <c r="E7" s="2"/>
    </row>
    <row r="8" spans="1:10" x14ac:dyDescent="0.25">
      <c r="A8" s="24" t="s">
        <v>359</v>
      </c>
      <c r="B8" s="2"/>
      <c r="C8" s="10">
        <v>1</v>
      </c>
      <c r="D8" s="2"/>
      <c r="E8" s="2"/>
    </row>
    <row r="9" spans="1:10" x14ac:dyDescent="0.25">
      <c r="A9" s="29" t="s">
        <v>425</v>
      </c>
      <c r="B9" s="10">
        <v>1</v>
      </c>
      <c r="C9" s="10">
        <v>1</v>
      </c>
      <c r="D9" s="2"/>
      <c r="E9" s="2"/>
    </row>
    <row r="10" spans="1:10" x14ac:dyDescent="0.25">
      <c r="A10" s="24" t="s">
        <v>100</v>
      </c>
      <c r="B10" s="10">
        <v>1</v>
      </c>
      <c r="C10" s="10">
        <v>1</v>
      </c>
      <c r="D10" s="2"/>
      <c r="E10" s="2"/>
    </row>
    <row r="11" spans="1:10" x14ac:dyDescent="0.25">
      <c r="A11" s="23" t="s">
        <v>426</v>
      </c>
      <c r="B11" s="10">
        <v>1</v>
      </c>
      <c r="C11" s="10">
        <v>1</v>
      </c>
      <c r="D11" s="2"/>
      <c r="E11" s="2"/>
    </row>
    <row r="12" spans="1:10" ht="29.25" x14ac:dyDescent="0.25">
      <c r="A12" s="24" t="s">
        <v>427</v>
      </c>
      <c r="B12" s="10">
        <v>1</v>
      </c>
      <c r="C12" s="10">
        <v>1</v>
      </c>
      <c r="D12" s="2"/>
      <c r="E12" s="2"/>
    </row>
    <row r="13" spans="1:10" x14ac:dyDescent="0.25">
      <c r="A13" s="23" t="s">
        <v>102</v>
      </c>
      <c r="B13" s="2"/>
      <c r="C13" s="10">
        <v>1</v>
      </c>
      <c r="D13" s="2"/>
      <c r="E13" s="2"/>
    </row>
    <row r="14" spans="1:10" x14ac:dyDescent="0.25">
      <c r="A14" s="24" t="s">
        <v>360</v>
      </c>
      <c r="B14" s="2"/>
      <c r="C14" s="2"/>
      <c r="D14" s="2"/>
      <c r="E14" s="2"/>
    </row>
    <row r="15" spans="1:10" x14ac:dyDescent="0.25">
      <c r="A15" s="24" t="s">
        <v>361</v>
      </c>
      <c r="B15" s="2"/>
      <c r="C15" s="2"/>
      <c r="D15" s="2"/>
      <c r="E15" s="2"/>
    </row>
    <row r="16" spans="1:10" x14ac:dyDescent="0.25">
      <c r="A16" s="24" t="s">
        <v>362</v>
      </c>
      <c r="B16" s="2"/>
      <c r="C16" s="2"/>
      <c r="D16" s="2"/>
      <c r="E16" s="2"/>
    </row>
    <row r="17" spans="1:5" x14ac:dyDescent="0.25">
      <c r="A17" s="23" t="s">
        <v>363</v>
      </c>
      <c r="B17" s="10">
        <v>1</v>
      </c>
      <c r="C17" s="10">
        <v>1</v>
      </c>
      <c r="D17" s="2"/>
      <c r="E17" s="2"/>
    </row>
    <row r="18" spans="1:5" x14ac:dyDescent="0.25">
      <c r="A18" s="24" t="s">
        <v>364</v>
      </c>
      <c r="B18" s="2"/>
      <c r="C18" s="2"/>
      <c r="D18" s="2"/>
      <c r="E18" s="2"/>
    </row>
    <row r="19" spans="1:5" x14ac:dyDescent="0.25">
      <c r="A19" s="24" t="s">
        <v>428</v>
      </c>
      <c r="B19" s="10">
        <v>1</v>
      </c>
      <c r="C19" s="2"/>
      <c r="D19" s="2"/>
      <c r="E19" s="2"/>
    </row>
    <row r="20" spans="1:5" ht="29.25" x14ac:dyDescent="0.25">
      <c r="A20" s="24" t="s">
        <v>365</v>
      </c>
      <c r="B20" s="10">
        <v>1</v>
      </c>
      <c r="C20" s="10">
        <v>1</v>
      </c>
      <c r="D20" s="10">
        <v>1</v>
      </c>
      <c r="E20" s="2"/>
    </row>
    <row r="21" spans="1:5" x14ac:dyDescent="0.25">
      <c r="A21" s="24" t="s">
        <v>429</v>
      </c>
      <c r="B21" s="10">
        <v>1</v>
      </c>
      <c r="C21" s="10">
        <v>1</v>
      </c>
      <c r="D21" s="10">
        <v>1</v>
      </c>
      <c r="E21" s="2"/>
    </row>
    <row r="22" spans="1:5" x14ac:dyDescent="0.25">
      <c r="A22" s="24" t="s">
        <v>366</v>
      </c>
      <c r="B22" s="2"/>
      <c r="C22" s="2"/>
      <c r="D22" s="2"/>
      <c r="E22" s="2"/>
    </row>
    <row r="23" spans="1:5" x14ac:dyDescent="0.25">
      <c r="A23" s="24" t="s">
        <v>106</v>
      </c>
      <c r="B23" s="10">
        <v>1</v>
      </c>
      <c r="C23" s="10">
        <v>1</v>
      </c>
      <c r="D23" s="2"/>
      <c r="E23" s="2"/>
    </row>
    <row r="24" spans="1:5" ht="29.25" x14ac:dyDescent="0.25">
      <c r="A24" s="24" t="s">
        <v>367</v>
      </c>
      <c r="B24" s="10">
        <v>1</v>
      </c>
      <c r="C24" s="10">
        <v>1</v>
      </c>
      <c r="D24" s="10">
        <v>1</v>
      </c>
      <c r="E24" s="2"/>
    </row>
    <row r="25" spans="1:5" x14ac:dyDescent="0.25">
      <c r="A25" s="25" t="s">
        <v>368</v>
      </c>
      <c r="B25" s="2"/>
      <c r="C25" s="2"/>
      <c r="D25" s="2"/>
      <c r="E25" s="2"/>
    </row>
    <row r="26" spans="1:5" x14ac:dyDescent="0.25">
      <c r="A26" s="23" t="s">
        <v>369</v>
      </c>
      <c r="B26" s="10">
        <v>1</v>
      </c>
      <c r="C26" s="10">
        <v>1</v>
      </c>
      <c r="D26" s="10">
        <v>1</v>
      </c>
      <c r="E26" s="2"/>
    </row>
    <row r="27" spans="1:5" x14ac:dyDescent="0.25">
      <c r="A27" s="23" t="s">
        <v>322</v>
      </c>
      <c r="B27" s="2"/>
      <c r="C27" s="10">
        <v>1</v>
      </c>
      <c r="D27" s="2"/>
      <c r="E27" s="2"/>
    </row>
    <row r="28" spans="1:5" x14ac:dyDescent="0.25">
      <c r="A28" s="24" t="s">
        <v>370</v>
      </c>
      <c r="B28" s="2"/>
      <c r="C28" s="2"/>
      <c r="D28" s="2"/>
      <c r="E28" s="2"/>
    </row>
    <row r="29" spans="1:5" x14ac:dyDescent="0.25">
      <c r="A29" s="24" t="s">
        <v>370</v>
      </c>
      <c r="B29" s="2"/>
      <c r="C29" s="2"/>
      <c r="D29" s="2"/>
      <c r="E29" s="2"/>
    </row>
    <row r="30" spans="1:5" x14ac:dyDescent="0.25">
      <c r="A30" s="29" t="s">
        <v>430</v>
      </c>
      <c r="B30" s="2"/>
      <c r="C30" s="2"/>
      <c r="D30" s="2"/>
      <c r="E30" s="2"/>
    </row>
    <row r="31" spans="1:5" x14ac:dyDescent="0.25">
      <c r="A31" s="23" t="s">
        <v>371</v>
      </c>
      <c r="B31" s="10">
        <v>1</v>
      </c>
      <c r="C31" s="10">
        <v>1</v>
      </c>
      <c r="D31" s="10">
        <v>1</v>
      </c>
      <c r="E31" s="2"/>
    </row>
    <row r="32" spans="1:5" x14ac:dyDescent="0.25">
      <c r="A32" s="24" t="s">
        <v>17</v>
      </c>
      <c r="B32" s="2"/>
      <c r="C32" s="2"/>
      <c r="D32" s="2"/>
      <c r="E32" s="2"/>
    </row>
    <row r="33" spans="1:5" x14ac:dyDescent="0.25">
      <c r="A33" s="25" t="s">
        <v>372</v>
      </c>
      <c r="B33" s="10">
        <v>1</v>
      </c>
      <c r="C33" s="2"/>
      <c r="D33" s="2"/>
      <c r="E33" s="2"/>
    </row>
    <row r="34" spans="1:5" x14ac:dyDescent="0.25">
      <c r="A34" s="26" t="s">
        <v>373</v>
      </c>
      <c r="B34" s="2"/>
      <c r="C34" s="2"/>
      <c r="D34" s="2"/>
      <c r="E34" s="2"/>
    </row>
    <row r="35" spans="1:5" ht="29.25" x14ac:dyDescent="0.25">
      <c r="A35" s="23" t="s">
        <v>374</v>
      </c>
      <c r="B35" s="10">
        <v>1</v>
      </c>
      <c r="C35" s="10">
        <v>1</v>
      </c>
      <c r="D35" s="2"/>
      <c r="E35" s="2"/>
    </row>
    <row r="36" spans="1:5" x14ac:dyDescent="0.25">
      <c r="A36" s="25" t="s">
        <v>59</v>
      </c>
      <c r="B36" s="10">
        <v>1</v>
      </c>
      <c r="C36" s="2"/>
      <c r="D36" s="2"/>
      <c r="E36" s="2"/>
    </row>
    <row r="37" spans="1:5" x14ac:dyDescent="0.25">
      <c r="A37" s="24" t="s">
        <v>375</v>
      </c>
      <c r="B37" s="2"/>
      <c r="C37" s="2"/>
      <c r="D37" s="2"/>
      <c r="E37" s="2"/>
    </row>
    <row r="38" spans="1:5" x14ac:dyDescent="0.25">
      <c r="A38" s="23" t="s">
        <v>376</v>
      </c>
      <c r="B38" s="10">
        <v>1</v>
      </c>
      <c r="C38" s="10">
        <v>1</v>
      </c>
      <c r="D38" s="2"/>
      <c r="E38" s="2"/>
    </row>
    <row r="39" spans="1:5" x14ac:dyDescent="0.25">
      <c r="A39" s="24" t="s">
        <v>377</v>
      </c>
      <c r="B39" s="2"/>
      <c r="C39" s="10">
        <v>1</v>
      </c>
      <c r="D39" s="2"/>
      <c r="E39" s="2"/>
    </row>
    <row r="40" spans="1:5" x14ac:dyDescent="0.25">
      <c r="A40" s="23" t="s">
        <v>378</v>
      </c>
      <c r="B40" s="10">
        <v>1</v>
      </c>
      <c r="C40" s="10">
        <v>1</v>
      </c>
      <c r="D40" s="2"/>
      <c r="E40" s="2"/>
    </row>
    <row r="41" spans="1:5" x14ac:dyDescent="0.25">
      <c r="A41" s="24" t="s">
        <v>113</v>
      </c>
      <c r="B41" s="2"/>
      <c r="C41" s="2"/>
      <c r="D41" s="2"/>
      <c r="E41" s="2"/>
    </row>
    <row r="42" spans="1:5" x14ac:dyDescent="0.25">
      <c r="A42" s="24" t="s">
        <v>114</v>
      </c>
      <c r="B42" s="10">
        <v>1</v>
      </c>
      <c r="C42" s="10">
        <v>1</v>
      </c>
      <c r="D42" s="2"/>
      <c r="E42" s="2"/>
    </row>
    <row r="43" spans="1:5" ht="29.25" x14ac:dyDescent="0.25">
      <c r="A43" s="24" t="s">
        <v>379</v>
      </c>
      <c r="B43" s="10">
        <v>1</v>
      </c>
      <c r="C43" s="10">
        <v>1</v>
      </c>
      <c r="D43" s="2"/>
      <c r="E43" s="2"/>
    </row>
    <row r="44" spans="1:5" x14ac:dyDescent="0.25">
      <c r="A44" s="25" t="s">
        <v>380</v>
      </c>
      <c r="B44" s="10">
        <v>1</v>
      </c>
      <c r="C44" s="10">
        <v>1</v>
      </c>
      <c r="D44" s="10">
        <v>1</v>
      </c>
      <c r="E44" s="2">
        <v>1</v>
      </c>
    </row>
    <row r="45" spans="1:5" x14ac:dyDescent="0.25">
      <c r="A45" s="23" t="s">
        <v>117</v>
      </c>
      <c r="B45" s="10">
        <v>1</v>
      </c>
      <c r="C45" s="10">
        <v>1</v>
      </c>
      <c r="D45" s="2"/>
      <c r="E45" s="2"/>
    </row>
    <row r="46" spans="1:5" x14ac:dyDescent="0.25">
      <c r="A46" s="24" t="s">
        <v>118</v>
      </c>
      <c r="B46" s="10">
        <v>1</v>
      </c>
      <c r="C46" s="10">
        <v>1</v>
      </c>
      <c r="D46" s="10">
        <v>1</v>
      </c>
      <c r="E46" s="2"/>
    </row>
    <row r="47" spans="1:5" x14ac:dyDescent="0.25">
      <c r="A47" s="23" t="s">
        <v>381</v>
      </c>
      <c r="B47" s="10">
        <v>1</v>
      </c>
      <c r="C47" s="10">
        <v>1</v>
      </c>
      <c r="D47" s="2"/>
      <c r="E47" s="2"/>
    </row>
    <row r="48" spans="1:5" x14ac:dyDescent="0.25">
      <c r="A48" s="27" t="s">
        <v>382</v>
      </c>
      <c r="B48" s="2"/>
      <c r="C48" s="2"/>
      <c r="D48" s="2"/>
      <c r="E48" s="2"/>
    </row>
    <row r="49" spans="1:5" ht="29.25" x14ac:dyDescent="0.25">
      <c r="A49" s="24" t="s">
        <v>383</v>
      </c>
      <c r="B49" s="10">
        <v>1</v>
      </c>
      <c r="C49" s="10">
        <v>1</v>
      </c>
      <c r="D49" s="2"/>
      <c r="E49" s="2"/>
    </row>
    <row r="50" spans="1:5" x14ac:dyDescent="0.25">
      <c r="A50" s="28" t="s">
        <v>384</v>
      </c>
      <c r="B50" s="2"/>
      <c r="C50" s="2"/>
      <c r="D50" s="2"/>
      <c r="E50" s="2"/>
    </row>
    <row r="51" spans="1:5" x14ac:dyDescent="0.25">
      <c r="A51" s="29" t="s">
        <v>68</v>
      </c>
      <c r="B51" s="10">
        <v>1</v>
      </c>
      <c r="C51" s="10">
        <v>1</v>
      </c>
      <c r="D51" s="2"/>
      <c r="E51" s="2"/>
    </row>
    <row r="52" spans="1:5" x14ac:dyDescent="0.25">
      <c r="A52" s="29" t="s">
        <v>385</v>
      </c>
      <c r="B52" s="2"/>
      <c r="C52" s="10">
        <v>1</v>
      </c>
      <c r="D52" s="10">
        <v>1</v>
      </c>
      <c r="E52" s="2">
        <v>1</v>
      </c>
    </row>
    <row r="53" spans="1:5" ht="29.25" x14ac:dyDescent="0.25">
      <c r="A53" s="24" t="s">
        <v>386</v>
      </c>
      <c r="B53" s="2"/>
      <c r="C53" s="2"/>
      <c r="D53" s="2"/>
      <c r="E53" s="2"/>
    </row>
    <row r="54" spans="1:5" x14ac:dyDescent="0.25">
      <c r="A54" s="24" t="s">
        <v>387</v>
      </c>
      <c r="B54" s="10">
        <v>1</v>
      </c>
      <c r="C54" s="10">
        <v>1</v>
      </c>
      <c r="D54" s="2"/>
      <c r="E54" s="2"/>
    </row>
    <row r="55" spans="1:5" x14ac:dyDescent="0.25">
      <c r="A55" s="24" t="s">
        <v>388</v>
      </c>
      <c r="B55" s="10">
        <v>1</v>
      </c>
      <c r="C55" s="10">
        <v>1</v>
      </c>
      <c r="D55" s="2"/>
      <c r="E55" s="2"/>
    </row>
    <row r="56" spans="1:5" x14ac:dyDescent="0.25">
      <c r="A56" s="23" t="s">
        <v>389</v>
      </c>
      <c r="B56" s="10">
        <v>1</v>
      </c>
      <c r="C56" s="10">
        <v>1</v>
      </c>
      <c r="D56" s="2"/>
      <c r="E56" s="2"/>
    </row>
    <row r="57" spans="1:5" x14ac:dyDescent="0.25">
      <c r="A57" s="24" t="s">
        <v>390</v>
      </c>
      <c r="B57" s="2"/>
      <c r="C57" s="2"/>
      <c r="D57" s="2"/>
      <c r="E57" s="2"/>
    </row>
    <row r="58" spans="1:5" x14ac:dyDescent="0.25">
      <c r="A58" s="23" t="s">
        <v>391</v>
      </c>
      <c r="B58" s="2"/>
      <c r="C58" s="2"/>
      <c r="D58" s="2"/>
      <c r="E58" s="2"/>
    </row>
    <row r="59" spans="1:5" x14ac:dyDescent="0.25">
      <c r="A59" s="23" t="s">
        <v>392</v>
      </c>
      <c r="B59" s="2"/>
      <c r="C59" s="2"/>
      <c r="D59" s="2"/>
      <c r="E59" s="2"/>
    </row>
    <row r="60" spans="1:5" x14ac:dyDescent="0.25">
      <c r="A60" s="24" t="s">
        <v>393</v>
      </c>
      <c r="B60" s="2"/>
      <c r="C60" s="2"/>
      <c r="D60" s="2"/>
      <c r="E60" s="2"/>
    </row>
    <row r="61" spans="1:5" x14ac:dyDescent="0.25">
      <c r="A61" s="24" t="s">
        <v>431</v>
      </c>
      <c r="B61" s="2"/>
      <c r="C61" s="2"/>
      <c r="D61" s="2"/>
      <c r="E61" s="2"/>
    </row>
    <row r="62" spans="1:5" x14ac:dyDescent="0.25">
      <c r="A62" s="23" t="s">
        <v>394</v>
      </c>
      <c r="B62" s="2"/>
      <c r="C62" s="2"/>
      <c r="D62" s="2"/>
      <c r="E62" s="2"/>
    </row>
    <row r="63" spans="1:5" x14ac:dyDescent="0.25">
      <c r="A63" s="24" t="s">
        <v>33</v>
      </c>
      <c r="B63" s="2"/>
      <c r="C63" s="2"/>
      <c r="D63" s="2"/>
      <c r="E63" s="2"/>
    </row>
    <row r="64" spans="1:5" x14ac:dyDescent="0.25">
      <c r="A64" s="27" t="s">
        <v>432</v>
      </c>
      <c r="B64" s="2"/>
      <c r="C64" s="2"/>
      <c r="D64" s="2"/>
      <c r="E64" s="2"/>
    </row>
    <row r="65" spans="1:5" x14ac:dyDescent="0.25">
      <c r="A65" s="24" t="s">
        <v>265</v>
      </c>
      <c r="B65" s="2"/>
      <c r="C65" s="2"/>
      <c r="D65" s="2"/>
      <c r="E65" s="2"/>
    </row>
    <row r="66" spans="1:5" x14ac:dyDescent="0.25">
      <c r="A66" s="24" t="s">
        <v>395</v>
      </c>
      <c r="B66" s="10">
        <v>1</v>
      </c>
      <c r="C66" s="10">
        <v>1</v>
      </c>
      <c r="D66" s="2"/>
      <c r="E66" s="2"/>
    </row>
    <row r="67" spans="1:5" ht="29.25" x14ac:dyDescent="0.25">
      <c r="A67" s="23" t="s">
        <v>396</v>
      </c>
      <c r="B67" s="2"/>
      <c r="C67" s="2"/>
      <c r="D67" s="2"/>
      <c r="E67" s="2"/>
    </row>
    <row r="68" spans="1:5" x14ac:dyDescent="0.25">
      <c r="A68" s="23" t="s">
        <v>397</v>
      </c>
      <c r="B68" s="10">
        <v>1</v>
      </c>
      <c r="C68" s="10">
        <v>1</v>
      </c>
      <c r="D68" s="10">
        <v>1</v>
      </c>
      <c r="E68" s="2"/>
    </row>
    <row r="69" spans="1:5" x14ac:dyDescent="0.25">
      <c r="A69" s="23" t="s">
        <v>133</v>
      </c>
      <c r="B69" s="2"/>
      <c r="C69" s="2"/>
      <c r="D69" s="2"/>
      <c r="E69" s="2"/>
    </row>
    <row r="70" spans="1:5" x14ac:dyDescent="0.25">
      <c r="A70" s="24" t="s">
        <v>398</v>
      </c>
      <c r="B70" s="2"/>
      <c r="C70" s="2"/>
      <c r="D70" s="2"/>
      <c r="E70" s="2"/>
    </row>
    <row r="71" spans="1:5" x14ac:dyDescent="0.25">
      <c r="A71" s="26" t="s">
        <v>433</v>
      </c>
      <c r="B71" s="2"/>
      <c r="C71" s="2"/>
      <c r="D71" s="2"/>
      <c r="E71" s="2"/>
    </row>
    <row r="72" spans="1:5" x14ac:dyDescent="0.25">
      <c r="A72" s="24" t="s">
        <v>399</v>
      </c>
      <c r="B72" s="10">
        <v>1</v>
      </c>
      <c r="C72" s="10">
        <v>1</v>
      </c>
      <c r="D72" s="2"/>
      <c r="E72" s="2"/>
    </row>
    <row r="73" spans="1:5" x14ac:dyDescent="0.25">
      <c r="A73" s="24" t="s">
        <v>434</v>
      </c>
      <c r="B73" s="10">
        <v>1</v>
      </c>
      <c r="C73" s="2"/>
      <c r="D73" s="2"/>
      <c r="E73" s="2"/>
    </row>
    <row r="74" spans="1:5" x14ac:dyDescent="0.25">
      <c r="A74" s="23" t="s">
        <v>435</v>
      </c>
      <c r="B74" s="10">
        <v>1</v>
      </c>
      <c r="C74" s="10">
        <v>1</v>
      </c>
      <c r="D74" s="10">
        <v>1</v>
      </c>
      <c r="E74" s="2"/>
    </row>
    <row r="75" spans="1:5" x14ac:dyDescent="0.25">
      <c r="A75" s="24" t="s">
        <v>274</v>
      </c>
      <c r="B75" s="2"/>
      <c r="C75" s="2"/>
      <c r="D75" s="2"/>
      <c r="E75" s="2"/>
    </row>
    <row r="76" spans="1:5" x14ac:dyDescent="0.25">
      <c r="A76" s="24" t="s">
        <v>436</v>
      </c>
      <c r="B76" s="10">
        <v>1</v>
      </c>
      <c r="C76" s="10">
        <v>1</v>
      </c>
      <c r="D76" s="2"/>
      <c r="E76" s="2"/>
    </row>
    <row r="77" spans="1:5" x14ac:dyDescent="0.25">
      <c r="A77" s="27" t="s">
        <v>140</v>
      </c>
      <c r="B77" s="10">
        <v>1</v>
      </c>
      <c r="C77" s="10">
        <v>1</v>
      </c>
      <c r="D77" s="2"/>
      <c r="E77" s="2"/>
    </row>
    <row r="78" spans="1:5" x14ac:dyDescent="0.25">
      <c r="A78" s="23" t="s">
        <v>77</v>
      </c>
      <c r="B78" s="10">
        <v>1</v>
      </c>
      <c r="C78" s="10">
        <v>1</v>
      </c>
      <c r="D78" s="10">
        <v>1</v>
      </c>
      <c r="E78" s="2"/>
    </row>
    <row r="79" spans="1:5" x14ac:dyDescent="0.25">
      <c r="A79" s="24" t="s">
        <v>400</v>
      </c>
      <c r="B79" s="10">
        <v>1</v>
      </c>
      <c r="C79" s="10">
        <v>1</v>
      </c>
      <c r="D79" s="2"/>
      <c r="E79" s="2"/>
    </row>
    <row r="80" spans="1:5" x14ac:dyDescent="0.25">
      <c r="A80" s="29" t="s">
        <v>401</v>
      </c>
      <c r="B80" s="2"/>
      <c r="C80" s="2"/>
      <c r="D80" s="2"/>
      <c r="E80" s="2"/>
    </row>
    <row r="81" spans="1:5" x14ac:dyDescent="0.25">
      <c r="A81" s="24" t="s">
        <v>141</v>
      </c>
      <c r="B81" s="10">
        <v>1</v>
      </c>
      <c r="C81" s="10">
        <v>1</v>
      </c>
      <c r="D81" s="2"/>
      <c r="E81" s="2"/>
    </row>
    <row r="82" spans="1:5" x14ac:dyDescent="0.25">
      <c r="A82" s="24" t="s">
        <v>437</v>
      </c>
      <c r="B82" s="2"/>
      <c r="C82" s="2"/>
      <c r="D82" s="2"/>
      <c r="E82" s="2"/>
    </row>
    <row r="83" spans="1:5" ht="29.25" x14ac:dyDescent="0.25">
      <c r="A83" s="24" t="s">
        <v>402</v>
      </c>
      <c r="B83" s="10">
        <v>1</v>
      </c>
      <c r="C83" s="10">
        <v>1</v>
      </c>
      <c r="D83" s="2"/>
      <c r="E83" s="2"/>
    </row>
    <row r="84" spans="1:5" x14ac:dyDescent="0.25">
      <c r="A84" s="29" t="s">
        <v>403</v>
      </c>
      <c r="B84" s="10">
        <v>1</v>
      </c>
      <c r="C84" s="10">
        <v>1</v>
      </c>
      <c r="D84" s="2"/>
      <c r="E84" s="2"/>
    </row>
    <row r="85" spans="1:5" x14ac:dyDescent="0.25">
      <c r="A85" s="24" t="s">
        <v>404</v>
      </c>
      <c r="B85" s="2"/>
      <c r="C85" s="10">
        <v>1</v>
      </c>
      <c r="D85" s="10">
        <v>1</v>
      </c>
      <c r="E85" s="2"/>
    </row>
    <row r="86" spans="1:5" x14ac:dyDescent="0.25">
      <c r="A86" s="23" t="s">
        <v>405</v>
      </c>
      <c r="B86" s="2"/>
      <c r="C86" s="2"/>
      <c r="D86" s="2"/>
      <c r="E86" s="2"/>
    </row>
    <row r="87" spans="1:5" x14ac:dyDescent="0.25">
      <c r="A87" s="29" t="s">
        <v>284</v>
      </c>
      <c r="B87" s="10">
        <v>1</v>
      </c>
      <c r="C87" s="2"/>
      <c r="D87" s="2"/>
      <c r="E87" s="2"/>
    </row>
    <row r="88" spans="1:5" x14ac:dyDescent="0.25">
      <c r="A88" s="24" t="s">
        <v>406</v>
      </c>
      <c r="B88" s="2"/>
      <c r="C88" s="2"/>
      <c r="D88" s="2"/>
      <c r="E88" s="2"/>
    </row>
    <row r="89" spans="1:5" ht="29.25" x14ac:dyDescent="0.25">
      <c r="A89" s="23" t="s">
        <v>407</v>
      </c>
      <c r="B89" s="2"/>
      <c r="C89" s="2"/>
      <c r="D89" s="2"/>
      <c r="E89" s="2"/>
    </row>
    <row r="90" spans="1:5" x14ac:dyDescent="0.25">
      <c r="A90" s="24" t="s">
        <v>438</v>
      </c>
      <c r="B90" s="2"/>
      <c r="C90" s="2"/>
      <c r="D90" s="2"/>
      <c r="E90" s="2"/>
    </row>
    <row r="91" spans="1:5" x14ac:dyDescent="0.25">
      <c r="A91" s="23" t="s">
        <v>439</v>
      </c>
      <c r="B91" s="10">
        <v>1</v>
      </c>
      <c r="C91" s="2"/>
      <c r="D91" s="2"/>
      <c r="E91" s="2"/>
    </row>
    <row r="92" spans="1:5" x14ac:dyDescent="0.25">
      <c r="A92" s="24" t="s">
        <v>408</v>
      </c>
      <c r="B92" s="10">
        <v>1</v>
      </c>
      <c r="C92" s="10">
        <v>1</v>
      </c>
      <c r="D92" s="2"/>
      <c r="E92" s="2"/>
    </row>
    <row r="93" spans="1:5" ht="29.25" x14ac:dyDescent="0.25">
      <c r="A93" s="23" t="s">
        <v>409</v>
      </c>
      <c r="B93" s="2"/>
      <c r="C93" s="2"/>
      <c r="D93" s="2"/>
      <c r="E93" s="2"/>
    </row>
    <row r="94" spans="1:5" x14ac:dyDescent="0.25">
      <c r="A94" s="23" t="s">
        <v>440</v>
      </c>
      <c r="B94" s="2"/>
      <c r="C94" s="2"/>
      <c r="D94" s="2"/>
      <c r="E94" s="2"/>
    </row>
    <row r="95" spans="1:5" x14ac:dyDescent="0.25">
      <c r="A95" s="24" t="s">
        <v>441</v>
      </c>
      <c r="B95" s="2"/>
      <c r="C95" s="10">
        <v>1</v>
      </c>
      <c r="D95" s="10">
        <v>1</v>
      </c>
      <c r="E95" s="2"/>
    </row>
    <row r="96" spans="1:5" x14ac:dyDescent="0.25">
      <c r="A96" s="24" t="s">
        <v>442</v>
      </c>
      <c r="B96" s="10">
        <v>1</v>
      </c>
      <c r="C96" s="10">
        <v>1</v>
      </c>
      <c r="D96" s="10">
        <v>1</v>
      </c>
      <c r="E96" s="2"/>
    </row>
    <row r="97" spans="1:5" ht="29.25" x14ac:dyDescent="0.25">
      <c r="A97" s="24" t="s">
        <v>84</v>
      </c>
      <c r="B97" s="10">
        <v>1</v>
      </c>
      <c r="C97" s="10">
        <v>1</v>
      </c>
      <c r="D97" s="2"/>
      <c r="E97" s="2"/>
    </row>
    <row r="98" spans="1:5" x14ac:dyDescent="0.25">
      <c r="A98" s="24" t="s">
        <v>410</v>
      </c>
      <c r="B98" s="2"/>
      <c r="C98" s="2"/>
      <c r="D98" s="2"/>
      <c r="E98" s="2"/>
    </row>
    <row r="99" spans="1:5" x14ac:dyDescent="0.25">
      <c r="A99" s="24" t="s">
        <v>411</v>
      </c>
      <c r="B99" s="10">
        <v>1</v>
      </c>
      <c r="C99" s="10">
        <v>1</v>
      </c>
      <c r="D99" s="2"/>
      <c r="E99" s="2"/>
    </row>
    <row r="100" spans="1:5" x14ac:dyDescent="0.25">
      <c r="A100" s="23" t="s">
        <v>443</v>
      </c>
      <c r="B100" s="2"/>
      <c r="C100" s="10">
        <v>1</v>
      </c>
      <c r="D100" s="10">
        <v>1</v>
      </c>
      <c r="E100" s="2">
        <v>1</v>
      </c>
    </row>
    <row r="101" spans="1:5" x14ac:dyDescent="0.25">
      <c r="A101" s="24" t="s">
        <v>412</v>
      </c>
      <c r="B101" s="2"/>
      <c r="C101" s="2"/>
      <c r="D101" s="2"/>
      <c r="E101" s="2"/>
    </row>
    <row r="102" spans="1:5" x14ac:dyDescent="0.25">
      <c r="A102" s="24" t="s">
        <v>444</v>
      </c>
      <c r="B102" s="10">
        <v>1</v>
      </c>
      <c r="C102" s="10">
        <v>1</v>
      </c>
      <c r="D102" s="2"/>
      <c r="E102" s="2"/>
    </row>
    <row r="103" spans="1:5" ht="29.25" x14ac:dyDescent="0.25">
      <c r="A103" s="23" t="s">
        <v>413</v>
      </c>
      <c r="B103" s="10">
        <v>1</v>
      </c>
      <c r="C103" s="10">
        <v>1</v>
      </c>
      <c r="D103" s="10">
        <v>1</v>
      </c>
      <c r="E103" s="2"/>
    </row>
    <row r="104" spans="1:5" ht="29.25" x14ac:dyDescent="0.25">
      <c r="A104" s="30" t="s">
        <v>414</v>
      </c>
      <c r="B104" s="10">
        <v>1</v>
      </c>
      <c r="C104" s="10">
        <v>1</v>
      </c>
      <c r="D104" s="2"/>
      <c r="E104" s="2"/>
    </row>
    <row r="105" spans="1:5" x14ac:dyDescent="0.25">
      <c r="A105" s="23" t="s">
        <v>204</v>
      </c>
      <c r="B105" s="2"/>
      <c r="C105" s="10">
        <v>1</v>
      </c>
      <c r="D105" s="2"/>
      <c r="E105" s="2"/>
    </row>
    <row r="106" spans="1:5" x14ac:dyDescent="0.25">
      <c r="A106" s="23" t="s">
        <v>415</v>
      </c>
      <c r="B106" s="10">
        <v>1</v>
      </c>
      <c r="C106" s="10">
        <v>1</v>
      </c>
      <c r="D106" s="2"/>
      <c r="E106" s="2"/>
    </row>
    <row r="107" spans="1:5" x14ac:dyDescent="0.25">
      <c r="A107" s="23" t="s">
        <v>89</v>
      </c>
      <c r="B107" s="2"/>
      <c r="C107" s="2"/>
      <c r="D107" s="2"/>
      <c r="E107" s="2"/>
    </row>
    <row r="108" spans="1:5" x14ac:dyDescent="0.25">
      <c r="A108" s="23" t="s">
        <v>90</v>
      </c>
      <c r="B108" s="10">
        <v>1</v>
      </c>
      <c r="C108" s="2"/>
      <c r="D108" s="2"/>
      <c r="E108" s="2"/>
    </row>
    <row r="109" spans="1:5" x14ac:dyDescent="0.25">
      <c r="A109" s="24" t="s">
        <v>416</v>
      </c>
      <c r="B109" s="2"/>
      <c r="C109" s="2"/>
      <c r="D109" s="2"/>
      <c r="E109" s="2"/>
    </row>
    <row r="110" spans="1:5" x14ac:dyDescent="0.25">
      <c r="A110" s="27" t="s">
        <v>445</v>
      </c>
      <c r="B110" s="2"/>
      <c r="C110" s="2"/>
      <c r="D110" s="2"/>
      <c r="E110" s="2"/>
    </row>
    <row r="111" spans="1:5" ht="29.25" x14ac:dyDescent="0.25">
      <c r="A111" s="24" t="s">
        <v>417</v>
      </c>
      <c r="B111" s="10">
        <v>1</v>
      </c>
      <c r="C111" s="2"/>
      <c r="D111" s="2"/>
      <c r="E111" s="2"/>
    </row>
    <row r="112" spans="1:5" ht="29.25" x14ac:dyDescent="0.25">
      <c r="A112" s="23" t="s">
        <v>94</v>
      </c>
      <c r="B112" s="10">
        <v>1</v>
      </c>
      <c r="C112" s="10">
        <v>1</v>
      </c>
      <c r="D112" s="10">
        <v>1</v>
      </c>
      <c r="E112" s="2"/>
    </row>
    <row r="113" spans="1:5" x14ac:dyDescent="0.25">
      <c r="A113" s="24" t="s">
        <v>165</v>
      </c>
      <c r="B113" s="2"/>
      <c r="C113" s="2"/>
      <c r="D113" s="2"/>
      <c r="E113" s="2"/>
    </row>
    <row r="114" spans="1:5" x14ac:dyDescent="0.25">
      <c r="A114" s="23" t="s">
        <v>446</v>
      </c>
      <c r="B114" s="10">
        <v>1</v>
      </c>
      <c r="C114" s="10">
        <v>1</v>
      </c>
      <c r="D114" s="2"/>
      <c r="E114" s="2"/>
    </row>
    <row r="115" spans="1:5" ht="29.25" x14ac:dyDescent="0.25">
      <c r="A115" s="23" t="s">
        <v>447</v>
      </c>
      <c r="B115" s="2"/>
      <c r="C115" s="2"/>
      <c r="D115" s="2"/>
      <c r="E115" s="2"/>
    </row>
    <row r="116" spans="1:5" x14ac:dyDescent="0.25">
      <c r="A116" s="27" t="s">
        <v>418</v>
      </c>
      <c r="B116" s="10">
        <v>1</v>
      </c>
      <c r="C116" s="2"/>
      <c r="D116" s="2"/>
      <c r="E116" s="2"/>
    </row>
    <row r="117" spans="1:5" x14ac:dyDescent="0.25">
      <c r="A117" s="25" t="s">
        <v>419</v>
      </c>
      <c r="B117" s="2"/>
      <c r="C117" s="2"/>
      <c r="D117" s="2"/>
      <c r="E117" s="2"/>
    </row>
    <row r="118" spans="1:5" x14ac:dyDescent="0.25">
      <c r="A118" s="23" t="s">
        <v>420</v>
      </c>
      <c r="B118" s="10">
        <v>1</v>
      </c>
      <c r="C118" s="10">
        <v>1</v>
      </c>
      <c r="D118" s="2"/>
      <c r="E118" s="2"/>
    </row>
    <row r="119" spans="1:5" x14ac:dyDescent="0.25">
      <c r="A119" s="23" t="s">
        <v>421</v>
      </c>
      <c r="B119" s="2"/>
      <c r="C119" s="10">
        <v>1</v>
      </c>
      <c r="D119" s="2"/>
      <c r="E119" s="2"/>
    </row>
    <row r="120" spans="1:5" x14ac:dyDescent="0.25">
      <c r="A120" s="24" t="s">
        <v>448</v>
      </c>
      <c r="B120" s="2"/>
      <c r="C120" s="2"/>
      <c r="D120" s="2"/>
      <c r="E120" s="2"/>
    </row>
    <row r="121" spans="1:5" x14ac:dyDescent="0.25">
      <c r="A121" s="24" t="s">
        <v>422</v>
      </c>
      <c r="B121" s="10">
        <v>1</v>
      </c>
      <c r="C121" s="2"/>
      <c r="D121" s="2"/>
      <c r="E121" s="2"/>
    </row>
  </sheetData>
  <autoFilter ref="A1:D1" xr:uid="{78A1B9BB-BBFB-45B9-ADA5-44291868FF9E}">
    <sortState xmlns:xlrd2="http://schemas.microsoft.com/office/spreadsheetml/2017/richdata2" ref="A2:D176">
      <sortCondition ref="A1"/>
    </sortState>
  </autoFilter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55AE-2088-4B8C-9BDC-6B0720920039}">
  <dimension ref="A1:J122"/>
  <sheetViews>
    <sheetView topLeftCell="B1" zoomScaleNormal="100" workbookViewId="0">
      <selection activeCell="I26" sqref="I26"/>
    </sheetView>
  </sheetViews>
  <sheetFormatPr defaultRowHeight="15" x14ac:dyDescent="0.25"/>
  <cols>
    <col min="1" max="1" width="38.140625" customWidth="1"/>
    <col min="2" max="2" width="10.140625" customWidth="1"/>
    <col min="3" max="3" width="15.5703125" bestFit="1" customWidth="1"/>
    <col min="4" max="4" width="15.140625" bestFit="1" customWidth="1"/>
    <col min="5" max="5" width="14.5703125" customWidth="1"/>
    <col min="6" max="7" width="15" bestFit="1" customWidth="1"/>
    <col min="8" max="8" width="22.85546875" bestFit="1" customWidth="1"/>
    <col min="9" max="9" width="22.5703125" bestFit="1" customWidth="1"/>
    <col min="10" max="10" width="21.5703125" bestFit="1" customWidth="1"/>
  </cols>
  <sheetData>
    <row r="1" spans="1:10" x14ac:dyDescent="0.25">
      <c r="A1" s="96" t="s">
        <v>52</v>
      </c>
      <c r="B1" s="94" t="s">
        <v>211</v>
      </c>
      <c r="C1" s="94" t="s">
        <v>0</v>
      </c>
      <c r="D1" s="94" t="s">
        <v>1</v>
      </c>
      <c r="E1" s="94" t="s">
        <v>642</v>
      </c>
      <c r="G1" t="s">
        <v>354</v>
      </c>
      <c r="H1" t="s">
        <v>355</v>
      </c>
      <c r="I1" t="s">
        <v>356</v>
      </c>
      <c r="J1" t="s">
        <v>644</v>
      </c>
    </row>
    <row r="2" spans="1:10" ht="15.75" x14ac:dyDescent="0.25">
      <c r="A2" s="31" t="s">
        <v>489</v>
      </c>
      <c r="B2" s="10">
        <v>1</v>
      </c>
      <c r="C2" s="10">
        <v>1</v>
      </c>
      <c r="D2" s="2"/>
      <c r="E2" s="2"/>
      <c r="G2" s="97">
        <v>50</v>
      </c>
      <c r="H2" s="97">
        <v>75</v>
      </c>
      <c r="I2" s="97">
        <v>23</v>
      </c>
      <c r="J2" s="97">
        <v>2</v>
      </c>
    </row>
    <row r="3" spans="1:10" ht="22.5" customHeight="1" x14ac:dyDescent="0.25">
      <c r="A3" s="32" t="s">
        <v>490</v>
      </c>
      <c r="B3" s="10">
        <v>1</v>
      </c>
      <c r="C3" s="10">
        <v>1</v>
      </c>
      <c r="D3" s="10">
        <v>1</v>
      </c>
      <c r="E3" s="2"/>
    </row>
    <row r="4" spans="1:10" ht="15.75" x14ac:dyDescent="0.25">
      <c r="A4" s="33" t="s">
        <v>449</v>
      </c>
      <c r="B4" s="2"/>
      <c r="C4" s="10">
        <v>1</v>
      </c>
      <c r="D4" s="2"/>
      <c r="E4" s="2"/>
    </row>
    <row r="5" spans="1:10" ht="15.75" x14ac:dyDescent="0.25">
      <c r="A5" s="33" t="s">
        <v>449</v>
      </c>
      <c r="B5" s="2"/>
      <c r="C5" s="10">
        <v>1</v>
      </c>
      <c r="D5" s="2"/>
      <c r="E5" s="2"/>
    </row>
    <row r="6" spans="1:10" ht="15.75" x14ac:dyDescent="0.25">
      <c r="A6" s="34" t="s">
        <v>426</v>
      </c>
      <c r="B6" s="10">
        <v>1</v>
      </c>
      <c r="C6" s="10">
        <v>1</v>
      </c>
      <c r="D6" s="10">
        <v>1</v>
      </c>
      <c r="E6" s="2"/>
    </row>
    <row r="7" spans="1:10" ht="15.75" x14ac:dyDescent="0.25">
      <c r="A7" s="33" t="s">
        <v>450</v>
      </c>
      <c r="B7" s="2"/>
      <c r="C7" s="10">
        <v>1</v>
      </c>
      <c r="D7" s="2"/>
      <c r="E7" s="2"/>
    </row>
    <row r="8" spans="1:10" ht="15.75" x14ac:dyDescent="0.25">
      <c r="A8" s="34" t="s">
        <v>103</v>
      </c>
      <c r="B8" s="10">
        <v>1</v>
      </c>
      <c r="C8" s="10">
        <v>1</v>
      </c>
      <c r="D8" s="2"/>
      <c r="E8" s="2"/>
    </row>
    <row r="9" spans="1:10" ht="15.75" x14ac:dyDescent="0.25">
      <c r="A9" s="34" t="s">
        <v>491</v>
      </c>
      <c r="B9" s="10">
        <v>1</v>
      </c>
      <c r="C9" s="10">
        <v>1</v>
      </c>
      <c r="D9" s="2"/>
      <c r="E9" s="2"/>
    </row>
    <row r="10" spans="1:10" ht="15.75" x14ac:dyDescent="0.25">
      <c r="A10" s="32" t="s">
        <v>451</v>
      </c>
      <c r="B10" s="10">
        <v>1</v>
      </c>
      <c r="C10" s="10">
        <v>1</v>
      </c>
      <c r="D10" s="2"/>
      <c r="E10" s="2"/>
    </row>
    <row r="11" spans="1:10" ht="30.75" x14ac:dyDescent="0.25">
      <c r="A11" s="34" t="s">
        <v>492</v>
      </c>
      <c r="B11" s="2"/>
      <c r="C11" s="10">
        <v>1</v>
      </c>
      <c r="D11" s="2"/>
      <c r="E11" s="2"/>
    </row>
    <row r="12" spans="1:10" ht="15.75" x14ac:dyDescent="0.25">
      <c r="A12" s="31" t="s">
        <v>493</v>
      </c>
      <c r="B12" s="2"/>
      <c r="C12" s="2"/>
      <c r="D12" s="2"/>
      <c r="E12" s="2"/>
    </row>
    <row r="13" spans="1:10" ht="15.75" x14ac:dyDescent="0.25">
      <c r="A13" s="34" t="s">
        <v>452</v>
      </c>
      <c r="B13" s="10">
        <v>1</v>
      </c>
      <c r="C13" s="10">
        <v>1</v>
      </c>
      <c r="D13" s="2"/>
      <c r="E13" s="2"/>
    </row>
    <row r="14" spans="1:10" ht="15.75" x14ac:dyDescent="0.25">
      <c r="A14" s="34" t="s">
        <v>494</v>
      </c>
      <c r="B14" s="10">
        <v>1</v>
      </c>
      <c r="C14" s="10">
        <v>1</v>
      </c>
      <c r="D14" s="10">
        <v>1</v>
      </c>
      <c r="E14" s="2"/>
    </row>
    <row r="15" spans="1:10" ht="15.75" x14ac:dyDescent="0.25">
      <c r="A15" s="34" t="s">
        <v>453</v>
      </c>
      <c r="B15" s="2"/>
      <c r="C15" s="2"/>
      <c r="D15" s="2"/>
      <c r="E15" s="2"/>
    </row>
    <row r="16" spans="1:10" ht="15.75" x14ac:dyDescent="0.25">
      <c r="A16" s="33" t="s">
        <v>454</v>
      </c>
      <c r="B16" s="2"/>
      <c r="C16" s="2"/>
      <c r="D16" s="2"/>
      <c r="E16" s="2"/>
    </row>
    <row r="17" spans="1:5" ht="15.75" x14ac:dyDescent="0.25">
      <c r="A17" s="34" t="s">
        <v>495</v>
      </c>
      <c r="B17" s="2"/>
      <c r="C17" s="10">
        <v>1</v>
      </c>
      <c r="D17" s="2"/>
      <c r="E17" s="2"/>
    </row>
    <row r="18" spans="1:5" ht="15.75" x14ac:dyDescent="0.25">
      <c r="A18" s="34" t="s">
        <v>225</v>
      </c>
      <c r="B18" s="10">
        <v>1</v>
      </c>
      <c r="C18" s="10">
        <v>1</v>
      </c>
      <c r="D18" s="2"/>
      <c r="E18" s="2"/>
    </row>
    <row r="19" spans="1:5" ht="15.75" x14ac:dyDescent="0.25">
      <c r="A19" s="34" t="s">
        <v>496</v>
      </c>
      <c r="B19" s="10">
        <v>1</v>
      </c>
      <c r="C19" s="10">
        <v>1</v>
      </c>
      <c r="D19" s="10">
        <v>1</v>
      </c>
      <c r="E19" s="2"/>
    </row>
    <row r="20" spans="1:5" ht="15.75" x14ac:dyDescent="0.25">
      <c r="A20" s="35" t="s">
        <v>181</v>
      </c>
      <c r="B20" s="2"/>
      <c r="C20" s="2"/>
      <c r="D20" s="2"/>
      <c r="E20" s="2"/>
    </row>
    <row r="21" spans="1:5" ht="15.75" x14ac:dyDescent="0.25">
      <c r="A21" s="34" t="s">
        <v>497</v>
      </c>
      <c r="B21" s="2"/>
      <c r="C21" s="2"/>
      <c r="D21" s="2"/>
      <c r="E21" s="2"/>
    </row>
    <row r="22" spans="1:5" ht="15.75" x14ac:dyDescent="0.25">
      <c r="A22" s="34" t="s">
        <v>498</v>
      </c>
      <c r="B22" s="2"/>
      <c r="C22" s="2"/>
      <c r="D22" s="2"/>
      <c r="E22" s="2"/>
    </row>
    <row r="23" spans="1:5" ht="15.75" x14ac:dyDescent="0.25">
      <c r="A23" s="34" t="s">
        <v>498</v>
      </c>
      <c r="B23" s="2"/>
      <c r="C23" s="2"/>
      <c r="D23" s="2"/>
      <c r="E23" s="2"/>
    </row>
    <row r="24" spans="1:5" ht="15.75" x14ac:dyDescent="0.25">
      <c r="A24" s="34" t="s">
        <v>369</v>
      </c>
      <c r="B24" s="10">
        <v>1</v>
      </c>
      <c r="C24" s="10">
        <v>1</v>
      </c>
      <c r="D24" s="2"/>
      <c r="E24" s="2"/>
    </row>
    <row r="25" spans="1:5" ht="15.75" x14ac:dyDescent="0.25">
      <c r="A25" s="33" t="s">
        <v>499</v>
      </c>
      <c r="B25" s="2"/>
      <c r="C25" s="2"/>
      <c r="D25" s="2"/>
      <c r="E25" s="2"/>
    </row>
    <row r="26" spans="1:5" ht="15.75" x14ac:dyDescent="0.25">
      <c r="A26" s="34" t="s">
        <v>230</v>
      </c>
      <c r="B26" s="10">
        <v>1</v>
      </c>
      <c r="C26" s="10">
        <v>1</v>
      </c>
      <c r="D26" s="10">
        <v>1</v>
      </c>
      <c r="E26" s="2">
        <v>1</v>
      </c>
    </row>
    <row r="27" spans="1:5" ht="15.75" x14ac:dyDescent="0.25">
      <c r="A27" s="34" t="s">
        <v>325</v>
      </c>
      <c r="B27" s="2"/>
      <c r="C27" s="10">
        <v>1</v>
      </c>
      <c r="D27" s="2"/>
      <c r="E27" s="2"/>
    </row>
    <row r="28" spans="1:5" ht="15.75" x14ac:dyDescent="0.25">
      <c r="A28" s="34" t="s">
        <v>500</v>
      </c>
      <c r="B28" s="10">
        <v>1</v>
      </c>
      <c r="C28" s="10">
        <v>1</v>
      </c>
      <c r="D28" s="2"/>
      <c r="E28" s="2"/>
    </row>
    <row r="29" spans="1:5" ht="15.75" x14ac:dyDescent="0.25">
      <c r="A29" s="33" t="s">
        <v>501</v>
      </c>
      <c r="B29" s="10">
        <v>1</v>
      </c>
      <c r="C29" s="10">
        <v>1</v>
      </c>
      <c r="D29" s="2"/>
      <c r="E29" s="2"/>
    </row>
    <row r="30" spans="1:5" ht="15.75" x14ac:dyDescent="0.25">
      <c r="A30" s="35" t="s">
        <v>372</v>
      </c>
      <c r="B30" s="10">
        <v>1</v>
      </c>
      <c r="C30" s="10">
        <v>1</v>
      </c>
      <c r="D30" s="10">
        <v>1</v>
      </c>
      <c r="E30" s="2"/>
    </row>
    <row r="31" spans="1:5" ht="15.75" x14ac:dyDescent="0.25">
      <c r="A31" s="34" t="s">
        <v>455</v>
      </c>
      <c r="B31" s="10">
        <v>1</v>
      </c>
      <c r="C31" s="10">
        <v>1</v>
      </c>
      <c r="D31" s="2"/>
      <c r="E31" s="2"/>
    </row>
    <row r="32" spans="1:5" ht="30.75" x14ac:dyDescent="0.25">
      <c r="A32" s="34" t="s">
        <v>456</v>
      </c>
      <c r="B32" s="2"/>
      <c r="C32" s="2"/>
      <c r="D32" s="2"/>
      <c r="E32" s="2"/>
    </row>
    <row r="33" spans="1:5" ht="15.75" x14ac:dyDescent="0.25">
      <c r="A33" s="34" t="s">
        <v>457</v>
      </c>
      <c r="B33" s="2"/>
      <c r="C33" s="10">
        <v>1</v>
      </c>
      <c r="D33" s="10">
        <v>1</v>
      </c>
      <c r="E33" s="2"/>
    </row>
    <row r="34" spans="1:5" ht="15.75" x14ac:dyDescent="0.25">
      <c r="A34" s="34" t="s">
        <v>21</v>
      </c>
      <c r="B34" s="10">
        <v>1</v>
      </c>
      <c r="C34" s="10">
        <v>1</v>
      </c>
      <c r="D34" s="2"/>
      <c r="E34" s="2"/>
    </row>
    <row r="35" spans="1:5" ht="15.75" x14ac:dyDescent="0.25">
      <c r="A35" s="31" t="s">
        <v>502</v>
      </c>
      <c r="B35" s="10">
        <v>1</v>
      </c>
      <c r="C35" s="10">
        <v>1</v>
      </c>
      <c r="D35" s="2"/>
      <c r="E35" s="2"/>
    </row>
    <row r="36" spans="1:5" ht="15.75" x14ac:dyDescent="0.25">
      <c r="A36" s="33" t="s">
        <v>458</v>
      </c>
      <c r="B36" s="10">
        <v>1</v>
      </c>
      <c r="C36" s="10">
        <v>1</v>
      </c>
      <c r="D36" s="2"/>
      <c r="E36" s="2"/>
    </row>
    <row r="37" spans="1:5" ht="15.75" x14ac:dyDescent="0.25">
      <c r="A37" s="34" t="s">
        <v>503</v>
      </c>
      <c r="B37" s="2"/>
      <c r="C37" s="2"/>
      <c r="D37" s="2"/>
      <c r="E37" s="2"/>
    </row>
    <row r="38" spans="1:5" ht="15.75" x14ac:dyDescent="0.25">
      <c r="A38" s="34" t="s">
        <v>504</v>
      </c>
      <c r="B38" s="10">
        <v>1</v>
      </c>
      <c r="C38" s="10">
        <v>1</v>
      </c>
      <c r="D38" s="2"/>
      <c r="E38" s="2"/>
    </row>
    <row r="39" spans="1:5" ht="15.75" x14ac:dyDescent="0.25">
      <c r="A39" s="34" t="s">
        <v>505</v>
      </c>
      <c r="B39" s="2"/>
      <c r="C39" s="2"/>
      <c r="D39" s="2"/>
      <c r="E39" s="2"/>
    </row>
    <row r="40" spans="1:5" ht="15.75" x14ac:dyDescent="0.25">
      <c r="A40" s="36" t="s">
        <v>245</v>
      </c>
      <c r="B40" s="10">
        <v>1</v>
      </c>
      <c r="C40" s="10">
        <v>1</v>
      </c>
      <c r="D40" s="2"/>
      <c r="E40" s="2"/>
    </row>
    <row r="41" spans="1:5" ht="15.75" x14ac:dyDescent="0.25">
      <c r="A41" s="34" t="s">
        <v>459</v>
      </c>
      <c r="B41" s="10">
        <v>1</v>
      </c>
      <c r="C41" s="10">
        <v>1</v>
      </c>
      <c r="D41" s="2"/>
      <c r="E41" s="2"/>
    </row>
    <row r="42" spans="1:5" ht="15.75" x14ac:dyDescent="0.25">
      <c r="A42" s="34" t="s">
        <v>460</v>
      </c>
      <c r="B42" s="10">
        <v>1</v>
      </c>
      <c r="C42" s="10">
        <v>1</v>
      </c>
      <c r="D42" s="2"/>
      <c r="E42" s="2"/>
    </row>
    <row r="43" spans="1:5" ht="15.75" x14ac:dyDescent="0.25">
      <c r="A43" s="34" t="s">
        <v>506</v>
      </c>
      <c r="B43" s="2"/>
      <c r="C43" s="2"/>
      <c r="D43" s="2"/>
      <c r="E43" s="2"/>
    </row>
    <row r="44" spans="1:5" ht="15.75" x14ac:dyDescent="0.25">
      <c r="A44" s="34" t="s">
        <v>507</v>
      </c>
      <c r="B44" s="2"/>
      <c r="C44" s="10">
        <v>1</v>
      </c>
      <c r="D44" s="2"/>
      <c r="E44" s="2"/>
    </row>
    <row r="45" spans="1:5" ht="15.75" x14ac:dyDescent="0.25">
      <c r="A45" s="32" t="s">
        <v>508</v>
      </c>
      <c r="B45" s="2"/>
      <c r="C45" s="10">
        <v>1</v>
      </c>
      <c r="D45" s="2"/>
      <c r="E45" s="2"/>
    </row>
    <row r="46" spans="1:5" ht="15.75" x14ac:dyDescent="0.25">
      <c r="A46" s="34" t="s">
        <v>461</v>
      </c>
      <c r="B46" s="2"/>
      <c r="C46" s="10">
        <v>1</v>
      </c>
      <c r="D46" s="10">
        <v>1</v>
      </c>
      <c r="E46" s="2"/>
    </row>
    <row r="47" spans="1:5" ht="15.75" x14ac:dyDescent="0.25">
      <c r="A47" s="33" t="s">
        <v>462</v>
      </c>
      <c r="B47" s="10">
        <v>1</v>
      </c>
      <c r="C47" s="10">
        <v>1</v>
      </c>
      <c r="D47" s="2"/>
      <c r="E47" s="2"/>
    </row>
    <row r="48" spans="1:5" ht="15.75" x14ac:dyDescent="0.25">
      <c r="A48" s="34" t="s">
        <v>509</v>
      </c>
      <c r="B48" s="2"/>
      <c r="C48" s="2"/>
      <c r="D48" s="2"/>
      <c r="E48" s="2"/>
    </row>
    <row r="49" spans="1:5" ht="15.75" x14ac:dyDescent="0.25">
      <c r="A49" s="34" t="s">
        <v>254</v>
      </c>
      <c r="B49" s="2"/>
      <c r="C49" s="10">
        <v>1</v>
      </c>
      <c r="D49" s="10">
        <v>1</v>
      </c>
      <c r="E49" s="2"/>
    </row>
    <row r="50" spans="1:5" ht="15.75" x14ac:dyDescent="0.25">
      <c r="A50" s="34" t="s">
        <v>463</v>
      </c>
      <c r="B50" s="10">
        <v>1</v>
      </c>
      <c r="C50" s="10">
        <v>1</v>
      </c>
      <c r="D50" s="2"/>
      <c r="E50" s="2"/>
    </row>
    <row r="51" spans="1:5" ht="15.75" x14ac:dyDescent="0.25">
      <c r="A51" s="32" t="s">
        <v>464</v>
      </c>
      <c r="B51" s="2"/>
      <c r="C51" s="2"/>
      <c r="D51" s="2"/>
      <c r="E51" s="2"/>
    </row>
    <row r="52" spans="1:5" ht="15.75" x14ac:dyDescent="0.25">
      <c r="A52" s="34" t="s">
        <v>510</v>
      </c>
      <c r="B52" s="2"/>
      <c r="C52" s="2"/>
      <c r="D52" s="2"/>
      <c r="E52" s="2"/>
    </row>
    <row r="53" spans="1:5" ht="15.75" x14ac:dyDescent="0.25">
      <c r="A53" s="33" t="s">
        <v>387</v>
      </c>
      <c r="B53" s="2"/>
      <c r="C53" s="2"/>
      <c r="D53" s="2"/>
      <c r="E53" s="2"/>
    </row>
    <row r="54" spans="1:5" ht="15.75" x14ac:dyDescent="0.25">
      <c r="A54" s="34" t="s">
        <v>465</v>
      </c>
      <c r="B54" s="2"/>
      <c r="C54" s="2"/>
      <c r="D54" s="2"/>
      <c r="E54" s="2"/>
    </row>
    <row r="55" spans="1:5" ht="15.75" x14ac:dyDescent="0.25">
      <c r="A55" s="34" t="s">
        <v>511</v>
      </c>
      <c r="B55" s="2"/>
      <c r="C55" s="10">
        <v>1</v>
      </c>
      <c r="D55" s="10">
        <v>1</v>
      </c>
      <c r="E55" s="2"/>
    </row>
    <row r="56" spans="1:5" ht="15.75" x14ac:dyDescent="0.25">
      <c r="A56" s="34" t="s">
        <v>128</v>
      </c>
      <c r="B56" s="2"/>
      <c r="C56" s="2"/>
      <c r="D56" s="2"/>
      <c r="E56" s="2"/>
    </row>
    <row r="57" spans="1:5" ht="15.75" x14ac:dyDescent="0.25">
      <c r="A57" s="34" t="s">
        <v>466</v>
      </c>
      <c r="B57" s="10">
        <v>1</v>
      </c>
      <c r="C57" s="10">
        <v>1</v>
      </c>
      <c r="D57" s="2"/>
      <c r="E57" s="2"/>
    </row>
    <row r="58" spans="1:5" ht="15.75" x14ac:dyDescent="0.25">
      <c r="A58" s="34" t="s">
        <v>512</v>
      </c>
      <c r="B58" s="10">
        <v>1</v>
      </c>
      <c r="C58" s="10">
        <v>1</v>
      </c>
      <c r="D58" s="2"/>
      <c r="E58" s="2"/>
    </row>
    <row r="59" spans="1:5" ht="15.75" x14ac:dyDescent="0.25">
      <c r="A59" s="34" t="s">
        <v>467</v>
      </c>
      <c r="B59" s="2"/>
      <c r="C59" s="10">
        <v>1</v>
      </c>
      <c r="D59" s="10">
        <v>1</v>
      </c>
      <c r="E59" s="2"/>
    </row>
    <row r="60" spans="1:5" ht="15.75" x14ac:dyDescent="0.25">
      <c r="A60" s="34" t="s">
        <v>194</v>
      </c>
      <c r="B60" s="2"/>
      <c r="C60" s="10">
        <v>1</v>
      </c>
      <c r="D60" s="2"/>
      <c r="E60" s="2"/>
    </row>
    <row r="61" spans="1:5" ht="15.75" x14ac:dyDescent="0.25">
      <c r="A61" s="34" t="s">
        <v>468</v>
      </c>
      <c r="B61" s="2"/>
      <c r="C61" s="2"/>
      <c r="D61" s="2"/>
      <c r="E61" s="2"/>
    </row>
    <row r="62" spans="1:5" ht="15.75" x14ac:dyDescent="0.25">
      <c r="A62" s="34" t="s">
        <v>469</v>
      </c>
      <c r="B62" s="10">
        <v>1</v>
      </c>
      <c r="C62" s="10">
        <v>1</v>
      </c>
      <c r="D62" s="10">
        <v>1</v>
      </c>
      <c r="E62" s="2"/>
    </row>
    <row r="63" spans="1:5" ht="15.75" x14ac:dyDescent="0.25">
      <c r="A63" s="34" t="s">
        <v>513</v>
      </c>
      <c r="B63" s="2"/>
      <c r="C63" s="2"/>
      <c r="D63" s="2"/>
      <c r="E63" s="2"/>
    </row>
    <row r="64" spans="1:5" ht="15.75" x14ac:dyDescent="0.25">
      <c r="A64" s="34" t="s">
        <v>333</v>
      </c>
      <c r="B64" s="10">
        <v>1</v>
      </c>
      <c r="C64" s="10">
        <v>1</v>
      </c>
      <c r="D64" s="10">
        <v>1</v>
      </c>
      <c r="E64" s="2"/>
    </row>
    <row r="65" spans="1:5" ht="15.75" x14ac:dyDescent="0.25">
      <c r="A65" s="34" t="s">
        <v>514</v>
      </c>
      <c r="B65" s="2"/>
      <c r="C65" s="2"/>
      <c r="D65" s="2"/>
      <c r="E65" s="2"/>
    </row>
    <row r="66" spans="1:5" ht="15.75" x14ac:dyDescent="0.25">
      <c r="A66" s="36" t="s">
        <v>432</v>
      </c>
      <c r="B66" s="10">
        <v>1</v>
      </c>
      <c r="C66" s="10">
        <v>1</v>
      </c>
      <c r="D66" s="2"/>
      <c r="E66" s="2"/>
    </row>
    <row r="67" spans="1:5" ht="15.75" x14ac:dyDescent="0.25">
      <c r="A67" s="34" t="s">
        <v>470</v>
      </c>
      <c r="B67" s="2"/>
      <c r="C67" s="2"/>
      <c r="D67" s="2"/>
      <c r="E67" s="2"/>
    </row>
    <row r="68" spans="1:5" ht="15.75" x14ac:dyDescent="0.25">
      <c r="A68" s="33" t="s">
        <v>471</v>
      </c>
      <c r="B68" s="2"/>
      <c r="C68" s="10">
        <v>1</v>
      </c>
      <c r="D68" s="10">
        <v>1</v>
      </c>
      <c r="E68" s="2"/>
    </row>
    <row r="69" spans="1:5" ht="15.75" x14ac:dyDescent="0.25">
      <c r="A69" s="34" t="s">
        <v>133</v>
      </c>
      <c r="B69" s="2"/>
      <c r="C69" s="10">
        <v>1</v>
      </c>
      <c r="D69" s="2"/>
      <c r="E69" s="2"/>
    </row>
    <row r="70" spans="1:5" ht="15.75" x14ac:dyDescent="0.25">
      <c r="A70" s="34" t="s">
        <v>472</v>
      </c>
      <c r="B70" s="2"/>
      <c r="C70" s="10">
        <v>1</v>
      </c>
      <c r="D70" s="2"/>
      <c r="E70" s="2"/>
    </row>
    <row r="71" spans="1:5" ht="15.75" x14ac:dyDescent="0.25">
      <c r="A71" s="34" t="s">
        <v>515</v>
      </c>
      <c r="B71" s="2"/>
      <c r="C71" s="2"/>
      <c r="D71" s="2"/>
      <c r="E71" s="2"/>
    </row>
    <row r="72" spans="1:5" ht="15.75" x14ac:dyDescent="0.25">
      <c r="A72" s="34" t="s">
        <v>516</v>
      </c>
      <c r="B72" s="10">
        <v>1</v>
      </c>
      <c r="C72" s="2"/>
      <c r="D72" s="2"/>
      <c r="E72" s="2"/>
    </row>
    <row r="73" spans="1:5" ht="15.75" x14ac:dyDescent="0.25">
      <c r="A73" s="34" t="s">
        <v>517</v>
      </c>
      <c r="B73" s="2"/>
      <c r="C73" s="2"/>
      <c r="D73" s="2"/>
      <c r="E73" s="2"/>
    </row>
    <row r="74" spans="1:5" ht="15.75" x14ac:dyDescent="0.25">
      <c r="A74" s="34" t="s">
        <v>518</v>
      </c>
      <c r="B74" s="2"/>
      <c r="C74" s="2"/>
      <c r="D74" s="2"/>
      <c r="E74" s="2"/>
    </row>
    <row r="75" spans="1:5" ht="30.75" x14ac:dyDescent="0.25">
      <c r="A75" s="35" t="s">
        <v>519</v>
      </c>
      <c r="B75" s="2"/>
      <c r="C75" s="2"/>
      <c r="D75" s="2"/>
      <c r="E75" s="2"/>
    </row>
    <row r="76" spans="1:5" ht="15.75" x14ac:dyDescent="0.25">
      <c r="A76" s="31" t="s">
        <v>433</v>
      </c>
      <c r="B76" s="10">
        <v>1</v>
      </c>
      <c r="C76" s="10">
        <v>1</v>
      </c>
      <c r="D76" s="10">
        <v>1</v>
      </c>
      <c r="E76" s="2"/>
    </row>
    <row r="77" spans="1:5" ht="15.75" x14ac:dyDescent="0.25">
      <c r="A77" s="34" t="s">
        <v>520</v>
      </c>
      <c r="B77" s="10">
        <v>1</v>
      </c>
      <c r="C77" s="2"/>
      <c r="D77" s="2"/>
      <c r="E77" s="2"/>
    </row>
    <row r="78" spans="1:5" ht="15.75" x14ac:dyDescent="0.25">
      <c r="A78" s="34" t="s">
        <v>521</v>
      </c>
      <c r="B78" s="10">
        <v>1</v>
      </c>
      <c r="C78" s="10">
        <v>1</v>
      </c>
      <c r="D78" s="2"/>
      <c r="E78" s="2"/>
    </row>
    <row r="79" spans="1:5" ht="15.75" x14ac:dyDescent="0.25">
      <c r="A79" s="34" t="s">
        <v>473</v>
      </c>
      <c r="B79" s="2"/>
      <c r="C79" s="10">
        <v>1</v>
      </c>
      <c r="D79" s="10">
        <v>1</v>
      </c>
      <c r="E79" s="2"/>
    </row>
    <row r="80" spans="1:5" ht="15.75" x14ac:dyDescent="0.25">
      <c r="A80" s="34" t="s">
        <v>198</v>
      </c>
      <c r="B80" s="2"/>
      <c r="C80" s="2"/>
      <c r="D80" s="2"/>
      <c r="E80" s="2"/>
    </row>
    <row r="81" spans="1:5" ht="15.75" x14ac:dyDescent="0.25">
      <c r="A81" s="34" t="s">
        <v>522</v>
      </c>
      <c r="B81" s="10">
        <v>1</v>
      </c>
      <c r="C81" s="10">
        <v>1</v>
      </c>
      <c r="D81" s="2"/>
      <c r="E81" s="2"/>
    </row>
    <row r="82" spans="1:5" ht="15.75" x14ac:dyDescent="0.25">
      <c r="A82" s="34" t="s">
        <v>523</v>
      </c>
      <c r="B82" s="10">
        <v>1</v>
      </c>
      <c r="C82" s="10">
        <v>1</v>
      </c>
      <c r="D82" s="2"/>
      <c r="E82" s="2"/>
    </row>
    <row r="83" spans="1:5" ht="15.75" x14ac:dyDescent="0.25">
      <c r="A83" s="31" t="s">
        <v>524</v>
      </c>
      <c r="B83" s="2"/>
      <c r="C83" s="10">
        <v>1</v>
      </c>
      <c r="D83" s="10">
        <v>1</v>
      </c>
      <c r="E83" s="2"/>
    </row>
    <row r="84" spans="1:5" ht="15.75" x14ac:dyDescent="0.25">
      <c r="A84" s="35" t="s">
        <v>525</v>
      </c>
      <c r="B84" s="2"/>
      <c r="C84" s="2"/>
      <c r="D84" s="2"/>
      <c r="E84" s="2"/>
    </row>
    <row r="85" spans="1:5" ht="30.75" x14ac:dyDescent="0.25">
      <c r="A85" s="34" t="s">
        <v>526</v>
      </c>
      <c r="B85" s="2"/>
      <c r="C85" s="10">
        <v>1</v>
      </c>
      <c r="D85" s="2"/>
      <c r="E85" s="2"/>
    </row>
    <row r="86" spans="1:5" ht="15.75" x14ac:dyDescent="0.25">
      <c r="A86" s="33" t="s">
        <v>527</v>
      </c>
      <c r="B86" s="2"/>
      <c r="C86" s="10">
        <v>1</v>
      </c>
      <c r="D86" s="2"/>
      <c r="E86" s="2"/>
    </row>
    <row r="87" spans="1:5" ht="15.75" x14ac:dyDescent="0.25">
      <c r="A87" s="34" t="s">
        <v>474</v>
      </c>
      <c r="B87" s="2"/>
      <c r="C87" s="2"/>
      <c r="D87" s="2"/>
      <c r="E87" s="2"/>
    </row>
    <row r="88" spans="1:5" ht="15.75" x14ac:dyDescent="0.25">
      <c r="A88" s="34" t="s">
        <v>528</v>
      </c>
      <c r="B88" s="2"/>
      <c r="C88" s="10">
        <v>1</v>
      </c>
      <c r="D88" s="2"/>
      <c r="E88" s="2"/>
    </row>
    <row r="89" spans="1:5" ht="15.75" x14ac:dyDescent="0.25">
      <c r="A89" s="34" t="s">
        <v>529</v>
      </c>
      <c r="B89" s="2"/>
      <c r="C89" s="2"/>
      <c r="D89" s="2"/>
      <c r="E89" s="2"/>
    </row>
    <row r="90" spans="1:5" ht="15.75" x14ac:dyDescent="0.25">
      <c r="A90" s="35" t="s">
        <v>279</v>
      </c>
      <c r="B90" s="2"/>
      <c r="C90" s="2"/>
      <c r="D90" s="2"/>
      <c r="E90" s="2"/>
    </row>
    <row r="91" spans="1:5" ht="15.75" x14ac:dyDescent="0.25">
      <c r="A91" s="34" t="s">
        <v>475</v>
      </c>
      <c r="B91" s="10">
        <v>1</v>
      </c>
      <c r="C91" s="10">
        <v>1</v>
      </c>
      <c r="D91" s="2"/>
      <c r="E91" s="2"/>
    </row>
    <row r="92" spans="1:5" ht="15.75" x14ac:dyDescent="0.25">
      <c r="A92" s="34" t="s">
        <v>476</v>
      </c>
      <c r="B92" s="10">
        <v>1</v>
      </c>
      <c r="C92" s="10">
        <v>1</v>
      </c>
      <c r="D92" s="10">
        <v>1</v>
      </c>
      <c r="E92" s="2"/>
    </row>
    <row r="93" spans="1:5" ht="15.75" x14ac:dyDescent="0.25">
      <c r="A93" s="32" t="s">
        <v>283</v>
      </c>
      <c r="B93" s="2"/>
      <c r="C93" s="2"/>
      <c r="D93" s="2"/>
      <c r="E93" s="2"/>
    </row>
    <row r="94" spans="1:5" ht="15.75" x14ac:dyDescent="0.25">
      <c r="A94" s="34" t="s">
        <v>477</v>
      </c>
      <c r="B94" s="2"/>
      <c r="C94" s="2"/>
      <c r="D94" s="2"/>
      <c r="E94" s="2"/>
    </row>
    <row r="95" spans="1:5" ht="15.75" x14ac:dyDescent="0.25">
      <c r="A95" s="34" t="s">
        <v>530</v>
      </c>
      <c r="B95" s="2"/>
      <c r="C95" s="2"/>
      <c r="D95" s="2"/>
      <c r="E95" s="2"/>
    </row>
    <row r="96" spans="1:5" ht="15.75" x14ac:dyDescent="0.25">
      <c r="A96" s="34" t="s">
        <v>407</v>
      </c>
      <c r="B96" s="2"/>
      <c r="C96" s="2"/>
      <c r="D96" s="2"/>
      <c r="E96" s="2"/>
    </row>
    <row r="97" spans="1:5" ht="15.75" x14ac:dyDescent="0.25">
      <c r="A97" s="34" t="s">
        <v>531</v>
      </c>
      <c r="B97" s="2"/>
      <c r="C97" s="2"/>
      <c r="D97" s="2"/>
      <c r="E97" s="2"/>
    </row>
    <row r="98" spans="1:5" ht="15.75" x14ac:dyDescent="0.25">
      <c r="A98" s="32" t="s">
        <v>532</v>
      </c>
      <c r="B98" s="2"/>
      <c r="C98" s="2"/>
      <c r="D98" s="2"/>
      <c r="E98" s="2"/>
    </row>
    <row r="99" spans="1:5" ht="15.75" x14ac:dyDescent="0.25">
      <c r="A99" s="34" t="s">
        <v>478</v>
      </c>
      <c r="B99" s="10">
        <v>1</v>
      </c>
      <c r="C99" s="10">
        <v>1</v>
      </c>
      <c r="D99" s="2"/>
      <c r="E99" s="2"/>
    </row>
    <row r="100" spans="1:5" ht="15.75" x14ac:dyDescent="0.25">
      <c r="A100" s="34" t="s">
        <v>533</v>
      </c>
      <c r="B100" s="2"/>
      <c r="C100" s="10">
        <v>1</v>
      </c>
      <c r="D100" s="2"/>
      <c r="E100" s="2"/>
    </row>
    <row r="101" spans="1:5" ht="15.75" x14ac:dyDescent="0.25">
      <c r="A101" s="32" t="s">
        <v>479</v>
      </c>
      <c r="B101" s="2"/>
      <c r="C101" s="10">
        <v>1</v>
      </c>
      <c r="D101" s="2"/>
      <c r="E101" s="2"/>
    </row>
    <row r="102" spans="1:5" ht="15.75" x14ac:dyDescent="0.25">
      <c r="A102" s="34" t="s">
        <v>480</v>
      </c>
      <c r="B102" s="10">
        <v>1</v>
      </c>
      <c r="C102" s="10">
        <v>1</v>
      </c>
      <c r="D102" s="2"/>
      <c r="E102" s="2"/>
    </row>
    <row r="103" spans="1:5" ht="15.75" x14ac:dyDescent="0.25">
      <c r="A103" s="35" t="s">
        <v>291</v>
      </c>
      <c r="B103" s="10">
        <v>1</v>
      </c>
      <c r="C103" s="10">
        <v>1</v>
      </c>
      <c r="D103" s="2"/>
      <c r="E103" s="2"/>
    </row>
    <row r="104" spans="1:5" ht="15.75" x14ac:dyDescent="0.25">
      <c r="A104" s="34" t="s">
        <v>534</v>
      </c>
      <c r="B104" s="2"/>
      <c r="C104" s="2"/>
      <c r="D104" s="2"/>
      <c r="E104" s="2"/>
    </row>
    <row r="105" spans="1:5" ht="15.75" x14ac:dyDescent="0.25">
      <c r="A105" s="34" t="s">
        <v>481</v>
      </c>
      <c r="B105" s="2"/>
      <c r="C105" s="10">
        <v>1</v>
      </c>
      <c r="D105" s="2"/>
      <c r="E105" s="2"/>
    </row>
    <row r="106" spans="1:5" ht="15.75" x14ac:dyDescent="0.25">
      <c r="A106" s="35" t="s">
        <v>482</v>
      </c>
      <c r="B106" s="10">
        <v>1</v>
      </c>
      <c r="C106" s="10">
        <v>1</v>
      </c>
      <c r="D106" s="2"/>
      <c r="E106" s="2"/>
    </row>
    <row r="107" spans="1:5" ht="15.75" x14ac:dyDescent="0.25">
      <c r="A107" s="32" t="s">
        <v>483</v>
      </c>
      <c r="B107" s="10">
        <v>1</v>
      </c>
      <c r="C107" s="10">
        <v>1</v>
      </c>
      <c r="D107" s="2"/>
      <c r="E107" s="2"/>
    </row>
    <row r="108" spans="1:5" ht="15.75" x14ac:dyDescent="0.25">
      <c r="A108" s="32" t="s">
        <v>535</v>
      </c>
      <c r="B108" s="2"/>
      <c r="C108" s="10">
        <v>1</v>
      </c>
      <c r="D108" s="10">
        <v>1</v>
      </c>
      <c r="E108" s="2"/>
    </row>
    <row r="109" spans="1:5" ht="15.75" x14ac:dyDescent="0.25">
      <c r="A109" s="34" t="s">
        <v>484</v>
      </c>
      <c r="B109" s="10">
        <v>1</v>
      </c>
      <c r="C109" s="10">
        <v>1</v>
      </c>
      <c r="D109" s="2"/>
      <c r="E109" s="2"/>
    </row>
    <row r="110" spans="1:5" ht="15.75" x14ac:dyDescent="0.25">
      <c r="A110" s="34" t="s">
        <v>536</v>
      </c>
      <c r="B110" s="10">
        <v>1</v>
      </c>
      <c r="C110" s="10">
        <v>1</v>
      </c>
      <c r="D110" s="2"/>
      <c r="E110" s="2"/>
    </row>
    <row r="111" spans="1:5" ht="15.75" x14ac:dyDescent="0.25">
      <c r="A111" s="34" t="s">
        <v>537</v>
      </c>
      <c r="B111" s="2"/>
      <c r="C111" s="2"/>
      <c r="D111" s="2"/>
      <c r="E111" s="2"/>
    </row>
    <row r="112" spans="1:5" ht="15.75" x14ac:dyDescent="0.25">
      <c r="A112" s="34" t="s">
        <v>538</v>
      </c>
      <c r="B112" s="10">
        <v>1</v>
      </c>
      <c r="C112" s="10">
        <v>1</v>
      </c>
      <c r="D112" s="10">
        <v>1</v>
      </c>
      <c r="E112" s="2"/>
    </row>
    <row r="113" spans="1:5" ht="15.75" x14ac:dyDescent="0.25">
      <c r="A113" s="33" t="s">
        <v>539</v>
      </c>
      <c r="B113" s="2"/>
      <c r="C113" s="10">
        <v>1</v>
      </c>
      <c r="D113" s="2"/>
      <c r="E113" s="2"/>
    </row>
    <row r="114" spans="1:5" ht="15.75" x14ac:dyDescent="0.25">
      <c r="A114" s="34" t="s">
        <v>94</v>
      </c>
      <c r="B114" s="2"/>
      <c r="C114" s="2"/>
      <c r="D114" s="2"/>
      <c r="E114" s="2"/>
    </row>
    <row r="115" spans="1:5" ht="15.75" x14ac:dyDescent="0.25">
      <c r="A115" s="34" t="s">
        <v>305</v>
      </c>
      <c r="B115" s="10">
        <v>1</v>
      </c>
      <c r="C115" s="10">
        <v>1</v>
      </c>
      <c r="D115" s="10">
        <v>1</v>
      </c>
      <c r="E115" s="2">
        <v>1</v>
      </c>
    </row>
    <row r="116" spans="1:5" ht="15.75" x14ac:dyDescent="0.25">
      <c r="A116" s="34" t="s">
        <v>485</v>
      </c>
      <c r="B116" s="2"/>
      <c r="C116" s="2"/>
      <c r="D116" s="2"/>
      <c r="E116" s="2"/>
    </row>
    <row r="117" spans="1:5" ht="15.75" x14ac:dyDescent="0.25">
      <c r="A117" s="34" t="s">
        <v>540</v>
      </c>
      <c r="B117" s="10">
        <v>1</v>
      </c>
      <c r="C117" s="10">
        <v>1</v>
      </c>
      <c r="D117" s="2"/>
      <c r="E117" s="2"/>
    </row>
    <row r="118" spans="1:5" ht="15.75" x14ac:dyDescent="0.25">
      <c r="A118" s="34" t="s">
        <v>541</v>
      </c>
      <c r="B118" s="2"/>
      <c r="C118" s="2"/>
      <c r="D118" s="2"/>
      <c r="E118" s="2"/>
    </row>
    <row r="119" spans="1:5" ht="15.75" x14ac:dyDescent="0.25">
      <c r="A119" s="33" t="s">
        <v>486</v>
      </c>
      <c r="B119" s="10">
        <v>1</v>
      </c>
      <c r="C119" s="10">
        <v>1</v>
      </c>
      <c r="D119" s="10">
        <v>1</v>
      </c>
      <c r="E119" s="2"/>
    </row>
    <row r="120" spans="1:5" ht="15.75" x14ac:dyDescent="0.25">
      <c r="A120" s="34" t="s">
        <v>542</v>
      </c>
      <c r="B120" s="2"/>
      <c r="C120" s="2"/>
      <c r="D120" s="2"/>
      <c r="E120" s="2"/>
    </row>
    <row r="121" spans="1:5" ht="15.75" x14ac:dyDescent="0.25">
      <c r="A121" s="34" t="s">
        <v>487</v>
      </c>
      <c r="B121" s="10">
        <v>1</v>
      </c>
      <c r="C121" s="10">
        <v>1</v>
      </c>
      <c r="D121" s="2"/>
      <c r="E121" s="2"/>
    </row>
    <row r="122" spans="1:5" ht="15.75" x14ac:dyDescent="0.25">
      <c r="A122" s="34" t="s">
        <v>488</v>
      </c>
      <c r="B122" s="2"/>
      <c r="C122" s="2"/>
      <c r="D122" s="10">
        <v>1</v>
      </c>
      <c r="E122" s="2"/>
    </row>
  </sheetData>
  <autoFilter ref="A1:D1" xr:uid="{D7EC55AE-2088-4B8C-9BDC-6B0720920039}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43E8-E0F1-400E-A701-8912F734C60D}">
  <dimension ref="A1:L137"/>
  <sheetViews>
    <sheetView topLeftCell="C1" workbookViewId="0">
      <selection activeCell="I1" sqref="I1:L2"/>
    </sheetView>
  </sheetViews>
  <sheetFormatPr defaultRowHeight="15" x14ac:dyDescent="0.25"/>
  <cols>
    <col min="1" max="1" width="38.28515625" customWidth="1"/>
    <col min="2" max="2" width="13" customWidth="1"/>
    <col min="3" max="3" width="19" customWidth="1"/>
    <col min="4" max="4" width="18.140625" customWidth="1"/>
    <col min="5" max="5" width="12.42578125" customWidth="1"/>
    <col min="9" max="9" width="15" bestFit="1" customWidth="1"/>
    <col min="10" max="10" width="22.85546875" bestFit="1" customWidth="1"/>
    <col min="11" max="11" width="22.5703125" bestFit="1" customWidth="1"/>
    <col min="12" max="12" width="21.5703125" bestFit="1" customWidth="1"/>
  </cols>
  <sheetData>
    <row r="1" spans="1:12" x14ac:dyDescent="0.25">
      <c r="A1" s="96" t="s">
        <v>52</v>
      </c>
      <c r="B1" s="94" t="s">
        <v>211</v>
      </c>
      <c r="C1" s="94" t="s">
        <v>0</v>
      </c>
      <c r="D1" s="94" t="s">
        <v>1</v>
      </c>
      <c r="E1" s="94" t="s">
        <v>642</v>
      </c>
      <c r="I1" s="2" t="s">
        <v>354</v>
      </c>
      <c r="J1" s="2" t="s">
        <v>355</v>
      </c>
      <c r="K1" s="2" t="s">
        <v>356</v>
      </c>
      <c r="L1" s="2" t="s">
        <v>644</v>
      </c>
    </row>
    <row r="2" spans="1:12" ht="15.75" x14ac:dyDescent="0.25">
      <c r="A2" s="21" t="s">
        <v>489</v>
      </c>
      <c r="B2" s="2">
        <v>1</v>
      </c>
      <c r="C2" s="2">
        <v>1</v>
      </c>
      <c r="D2" s="2"/>
      <c r="E2" s="2"/>
      <c r="I2" s="2">
        <v>57</v>
      </c>
      <c r="J2" s="2">
        <v>59</v>
      </c>
      <c r="K2" s="2">
        <v>19</v>
      </c>
      <c r="L2" s="2">
        <v>3</v>
      </c>
    </row>
    <row r="3" spans="1:12" ht="15.75" x14ac:dyDescent="0.25">
      <c r="A3" s="16" t="s">
        <v>546</v>
      </c>
      <c r="B3" s="2">
        <v>1</v>
      </c>
      <c r="C3" s="2">
        <v>1</v>
      </c>
      <c r="D3" s="2">
        <v>1</v>
      </c>
      <c r="E3" s="2"/>
    </row>
    <row r="4" spans="1:12" x14ac:dyDescent="0.25">
      <c r="A4" s="13" t="s">
        <v>618</v>
      </c>
      <c r="B4" s="2"/>
      <c r="C4" s="2"/>
      <c r="D4" s="2"/>
      <c r="E4" s="2"/>
    </row>
    <row r="5" spans="1:12" ht="15.75" x14ac:dyDescent="0.25">
      <c r="A5" s="14" t="s">
        <v>547</v>
      </c>
      <c r="B5" s="2">
        <v>1</v>
      </c>
      <c r="C5" s="2">
        <v>1</v>
      </c>
      <c r="D5" s="2"/>
      <c r="E5" s="2"/>
    </row>
    <row r="6" spans="1:12" ht="15.75" x14ac:dyDescent="0.25">
      <c r="A6" s="14" t="s">
        <v>54</v>
      </c>
      <c r="B6" s="2">
        <v>1</v>
      </c>
      <c r="C6" s="2"/>
      <c r="D6" s="2"/>
      <c r="E6" s="2"/>
    </row>
    <row r="7" spans="1:12" ht="15.75" x14ac:dyDescent="0.25">
      <c r="A7" s="14" t="s">
        <v>548</v>
      </c>
      <c r="B7" s="2"/>
      <c r="C7" s="2"/>
      <c r="D7" s="2"/>
      <c r="E7" s="2"/>
    </row>
    <row r="8" spans="1:12" ht="15.75" x14ac:dyDescent="0.25">
      <c r="A8" s="16" t="s">
        <v>549</v>
      </c>
      <c r="B8" s="2">
        <v>1</v>
      </c>
      <c r="C8" s="2">
        <v>1</v>
      </c>
      <c r="D8" s="2"/>
      <c r="E8" s="2"/>
    </row>
    <row r="9" spans="1:12" x14ac:dyDescent="0.25">
      <c r="A9" s="37" t="s">
        <v>619</v>
      </c>
      <c r="B9" s="2"/>
      <c r="C9" s="2"/>
      <c r="D9" s="2"/>
      <c r="E9" s="2"/>
    </row>
    <row r="10" spans="1:12" x14ac:dyDescent="0.25">
      <c r="A10" s="37" t="s">
        <v>100</v>
      </c>
      <c r="B10" s="2">
        <v>1</v>
      </c>
      <c r="C10" s="2">
        <v>1</v>
      </c>
      <c r="D10" s="2">
        <v>1</v>
      </c>
      <c r="E10" s="2"/>
    </row>
    <row r="11" spans="1:12" ht="15.75" x14ac:dyDescent="0.25">
      <c r="A11" s="14" t="s">
        <v>426</v>
      </c>
      <c r="B11" s="2">
        <v>1</v>
      </c>
      <c r="C11" s="2"/>
      <c r="D11" s="2"/>
      <c r="E11" s="2"/>
    </row>
    <row r="12" spans="1:12" ht="15.75" x14ac:dyDescent="0.25">
      <c r="A12" s="16" t="s">
        <v>450</v>
      </c>
      <c r="B12" s="2"/>
      <c r="C12" s="2"/>
      <c r="D12" s="2"/>
      <c r="E12" s="2"/>
    </row>
    <row r="13" spans="1:12" ht="15.75" x14ac:dyDescent="0.25">
      <c r="A13" s="14" t="s">
        <v>550</v>
      </c>
      <c r="B13" s="2">
        <v>1</v>
      </c>
      <c r="C13" s="2">
        <v>1</v>
      </c>
      <c r="D13" s="2"/>
      <c r="E13" s="2"/>
    </row>
    <row r="14" spans="1:12" x14ac:dyDescent="0.25">
      <c r="A14" s="13" t="s">
        <v>491</v>
      </c>
      <c r="B14" s="2"/>
      <c r="C14" s="2"/>
      <c r="D14" s="2"/>
      <c r="E14" s="2"/>
    </row>
    <row r="15" spans="1:12" x14ac:dyDescent="0.25">
      <c r="A15" s="37" t="s">
        <v>620</v>
      </c>
      <c r="B15" s="2">
        <v>1</v>
      </c>
      <c r="C15" s="2">
        <v>1</v>
      </c>
      <c r="D15" s="2"/>
      <c r="E15" s="2"/>
    </row>
    <row r="16" spans="1:12" x14ac:dyDescent="0.25">
      <c r="A16" s="11" t="s">
        <v>643</v>
      </c>
      <c r="B16" s="2"/>
      <c r="C16" s="2"/>
      <c r="D16" s="2">
        <v>1</v>
      </c>
      <c r="E16" s="2"/>
    </row>
    <row r="17" spans="1:5" ht="15.75" x14ac:dyDescent="0.25">
      <c r="A17" s="14" t="s">
        <v>551</v>
      </c>
      <c r="B17" s="2"/>
      <c r="C17" s="2"/>
      <c r="D17" s="2"/>
      <c r="E17" s="2"/>
    </row>
    <row r="18" spans="1:5" x14ac:dyDescent="0.25">
      <c r="A18" s="11" t="s">
        <v>621</v>
      </c>
      <c r="B18" s="2">
        <v>1</v>
      </c>
      <c r="C18" s="2">
        <v>1</v>
      </c>
      <c r="D18" s="2">
        <v>1</v>
      </c>
      <c r="E18" s="2">
        <v>1</v>
      </c>
    </row>
    <row r="19" spans="1:5" x14ac:dyDescent="0.25">
      <c r="A19" s="37" t="s">
        <v>7</v>
      </c>
      <c r="B19" s="2"/>
      <c r="C19" s="2"/>
      <c r="D19" s="2"/>
      <c r="E19" s="2"/>
    </row>
    <row r="20" spans="1:5" x14ac:dyDescent="0.25">
      <c r="A20" s="11" t="s">
        <v>622</v>
      </c>
      <c r="B20" s="2"/>
      <c r="C20" s="2"/>
      <c r="D20" s="2"/>
      <c r="E20" s="2"/>
    </row>
    <row r="21" spans="1:5" ht="15.75" x14ac:dyDescent="0.25">
      <c r="A21" s="16" t="s">
        <v>552</v>
      </c>
      <c r="B21" s="2"/>
      <c r="C21" s="2">
        <v>1</v>
      </c>
      <c r="D21" s="2"/>
      <c r="E21" s="2"/>
    </row>
    <row r="22" spans="1:5" ht="15.75" x14ac:dyDescent="0.25">
      <c r="A22" s="17" t="s">
        <v>553</v>
      </c>
      <c r="B22" s="2"/>
      <c r="C22" s="2"/>
      <c r="D22" s="2"/>
      <c r="E22" s="2"/>
    </row>
    <row r="23" spans="1:5" ht="15.75" x14ac:dyDescent="0.25">
      <c r="A23" s="16" t="s">
        <v>554</v>
      </c>
      <c r="B23" s="2">
        <v>1</v>
      </c>
      <c r="C23" s="2">
        <v>1</v>
      </c>
      <c r="D23" s="2">
        <v>1</v>
      </c>
      <c r="E23" s="2"/>
    </row>
    <row r="24" spans="1:5" ht="15.75" x14ac:dyDescent="0.25">
      <c r="A24" s="18" t="s">
        <v>181</v>
      </c>
      <c r="B24" s="2"/>
      <c r="C24" s="2"/>
      <c r="D24" s="2"/>
      <c r="E24" s="2"/>
    </row>
    <row r="25" spans="1:5" ht="15.75" x14ac:dyDescent="0.25">
      <c r="A25" s="14" t="s">
        <v>555</v>
      </c>
      <c r="B25" s="2">
        <v>1</v>
      </c>
      <c r="C25" s="2">
        <v>1</v>
      </c>
      <c r="D25" s="2"/>
      <c r="E25" s="2"/>
    </row>
    <row r="26" spans="1:5" x14ac:dyDescent="0.25">
      <c r="A26" s="13" t="s">
        <v>623</v>
      </c>
      <c r="B26" s="2"/>
      <c r="C26" s="2"/>
      <c r="D26" s="2"/>
      <c r="E26" s="2"/>
    </row>
    <row r="27" spans="1:5" ht="15.75" x14ac:dyDescent="0.25">
      <c r="A27" s="14" t="s">
        <v>185</v>
      </c>
      <c r="B27" s="2"/>
      <c r="C27" s="2"/>
      <c r="D27" s="2"/>
      <c r="E27" s="2"/>
    </row>
    <row r="28" spans="1:5" ht="15.75" x14ac:dyDescent="0.25">
      <c r="A28" s="16" t="s">
        <v>556</v>
      </c>
      <c r="B28" s="2"/>
      <c r="C28" s="2"/>
      <c r="D28" s="2"/>
      <c r="E28" s="2"/>
    </row>
    <row r="29" spans="1:5" ht="15.75" x14ac:dyDescent="0.25">
      <c r="A29" s="16" t="s">
        <v>557</v>
      </c>
      <c r="B29" s="2">
        <v>1</v>
      </c>
      <c r="C29" s="2">
        <v>1</v>
      </c>
      <c r="D29" s="2"/>
      <c r="E29" s="2"/>
    </row>
    <row r="30" spans="1:5" ht="15.75" x14ac:dyDescent="0.25">
      <c r="A30" s="22" t="s">
        <v>558</v>
      </c>
      <c r="B30" s="2"/>
      <c r="C30" s="2"/>
      <c r="D30" s="2"/>
      <c r="E30" s="2"/>
    </row>
    <row r="31" spans="1:5" ht="15.75" x14ac:dyDescent="0.25">
      <c r="A31" s="22" t="s">
        <v>559</v>
      </c>
      <c r="B31" s="2">
        <v>1</v>
      </c>
      <c r="C31" s="2"/>
      <c r="D31" s="2"/>
      <c r="E31" s="2"/>
    </row>
    <row r="32" spans="1:5" ht="15.75" x14ac:dyDescent="0.25">
      <c r="A32" s="14" t="s">
        <v>371</v>
      </c>
      <c r="B32" s="2">
        <v>1</v>
      </c>
      <c r="C32" s="2">
        <v>1</v>
      </c>
      <c r="D32" s="2"/>
      <c r="E32" s="2"/>
    </row>
    <row r="33" spans="1:5" ht="15.75" x14ac:dyDescent="0.25">
      <c r="A33" s="16" t="s">
        <v>560</v>
      </c>
      <c r="B33" s="2"/>
      <c r="C33" s="2"/>
      <c r="D33" s="2"/>
      <c r="E33" s="2"/>
    </row>
    <row r="34" spans="1:5" ht="15.75" x14ac:dyDescent="0.25">
      <c r="A34" s="14" t="s">
        <v>561</v>
      </c>
      <c r="B34" s="2"/>
      <c r="C34" s="2"/>
      <c r="D34" s="2"/>
      <c r="E34" s="2"/>
    </row>
    <row r="35" spans="1:5" ht="15.75" x14ac:dyDescent="0.25">
      <c r="A35" s="14" t="s">
        <v>562</v>
      </c>
      <c r="B35" s="2"/>
      <c r="C35" s="2"/>
      <c r="D35" s="2"/>
      <c r="E35" s="2"/>
    </row>
    <row r="36" spans="1:5" ht="15.75" x14ac:dyDescent="0.25">
      <c r="A36" s="18" t="s">
        <v>563</v>
      </c>
      <c r="B36" s="2"/>
      <c r="C36" s="2"/>
      <c r="D36" s="2"/>
      <c r="E36" s="2"/>
    </row>
    <row r="37" spans="1:5" ht="15.75" x14ac:dyDescent="0.25">
      <c r="A37" s="14" t="s">
        <v>234</v>
      </c>
      <c r="B37" s="2"/>
      <c r="C37" s="2"/>
      <c r="D37" s="2"/>
      <c r="E37" s="2"/>
    </row>
    <row r="38" spans="1:5" ht="15.75" x14ac:dyDescent="0.25">
      <c r="A38" s="22" t="s">
        <v>564</v>
      </c>
      <c r="B38" s="2"/>
      <c r="C38" s="2"/>
      <c r="D38" s="2"/>
      <c r="E38" s="2"/>
    </row>
    <row r="39" spans="1:5" ht="30.75" x14ac:dyDescent="0.25">
      <c r="A39" s="14" t="s">
        <v>565</v>
      </c>
      <c r="B39" s="2"/>
      <c r="C39" s="2"/>
      <c r="D39" s="2"/>
      <c r="E39" s="2"/>
    </row>
    <row r="40" spans="1:5" x14ac:dyDescent="0.25">
      <c r="A40" s="37" t="s">
        <v>624</v>
      </c>
      <c r="B40" s="2"/>
      <c r="C40" s="2"/>
      <c r="D40" s="2"/>
      <c r="E40" s="2"/>
    </row>
    <row r="41" spans="1:5" ht="15.75" x14ac:dyDescent="0.25">
      <c r="A41" s="16" t="s">
        <v>566</v>
      </c>
      <c r="B41" s="2"/>
      <c r="C41" s="2"/>
      <c r="D41" s="2"/>
      <c r="E41" s="2"/>
    </row>
    <row r="42" spans="1:5" x14ac:dyDescent="0.25">
      <c r="A42" s="37" t="s">
        <v>625</v>
      </c>
      <c r="B42" s="2"/>
      <c r="C42" s="2"/>
      <c r="D42" s="2"/>
      <c r="E42" s="2"/>
    </row>
    <row r="43" spans="1:5" ht="15.75" x14ac:dyDescent="0.25">
      <c r="A43" s="16" t="s">
        <v>567</v>
      </c>
      <c r="B43" s="2">
        <v>1</v>
      </c>
      <c r="C43" s="2">
        <v>1</v>
      </c>
      <c r="D43" s="2"/>
      <c r="E43" s="2"/>
    </row>
    <row r="44" spans="1:5" ht="15.75" x14ac:dyDescent="0.25">
      <c r="A44" s="14" t="s">
        <v>568</v>
      </c>
      <c r="B44" s="2"/>
      <c r="C44" s="2">
        <v>1</v>
      </c>
      <c r="D44" s="2"/>
      <c r="E44" s="2"/>
    </row>
    <row r="45" spans="1:5" ht="15.75" x14ac:dyDescent="0.25">
      <c r="A45" s="14" t="s">
        <v>569</v>
      </c>
      <c r="B45" s="2"/>
      <c r="C45" s="2"/>
      <c r="D45" s="2"/>
      <c r="E45" s="2"/>
    </row>
    <row r="46" spans="1:5" ht="15.75" x14ac:dyDescent="0.25">
      <c r="A46" s="14" t="s">
        <v>570</v>
      </c>
      <c r="B46" s="2"/>
      <c r="C46" s="2"/>
      <c r="D46" s="2"/>
      <c r="E46" s="2"/>
    </row>
    <row r="47" spans="1:5" ht="15.75" x14ac:dyDescent="0.25">
      <c r="A47" s="16" t="s">
        <v>571</v>
      </c>
      <c r="B47" s="2">
        <v>1</v>
      </c>
      <c r="C47" s="2">
        <v>1</v>
      </c>
      <c r="D47" s="2"/>
      <c r="E47" s="2"/>
    </row>
    <row r="48" spans="1:5" ht="15.75" x14ac:dyDescent="0.25">
      <c r="A48" s="14" t="s">
        <v>572</v>
      </c>
      <c r="B48" s="2">
        <v>1</v>
      </c>
      <c r="C48" s="2">
        <v>1</v>
      </c>
      <c r="D48" s="2"/>
      <c r="E48" s="2"/>
    </row>
    <row r="49" spans="1:5" x14ac:dyDescent="0.25">
      <c r="A49" s="37" t="s">
        <v>626</v>
      </c>
      <c r="B49" s="2">
        <v>1</v>
      </c>
      <c r="C49" s="2">
        <v>1</v>
      </c>
      <c r="D49" s="2"/>
      <c r="E49" s="2"/>
    </row>
    <row r="50" spans="1:5" ht="15.75" x14ac:dyDescent="0.25">
      <c r="A50" s="21" t="s">
        <v>66</v>
      </c>
      <c r="B50" s="2"/>
      <c r="C50" s="2"/>
      <c r="D50" s="2"/>
      <c r="E50" s="2"/>
    </row>
    <row r="51" spans="1:5" ht="15.75" x14ac:dyDescent="0.25">
      <c r="A51" s="21" t="s">
        <v>573</v>
      </c>
      <c r="B51" s="2"/>
      <c r="C51" s="2"/>
      <c r="D51" s="2"/>
      <c r="E51" s="2"/>
    </row>
    <row r="52" spans="1:5" x14ac:dyDescent="0.25">
      <c r="A52" s="13" t="s">
        <v>627</v>
      </c>
      <c r="B52" s="2"/>
      <c r="C52" s="2"/>
      <c r="D52" s="2"/>
      <c r="E52" s="2"/>
    </row>
    <row r="53" spans="1:5" ht="15.75" x14ac:dyDescent="0.25">
      <c r="A53" s="22" t="s">
        <v>382</v>
      </c>
      <c r="B53" s="2">
        <v>1</v>
      </c>
      <c r="C53" s="2"/>
      <c r="D53" s="2"/>
      <c r="E53" s="2"/>
    </row>
    <row r="54" spans="1:5" ht="15.75" x14ac:dyDescent="0.25">
      <c r="A54" s="16" t="s">
        <v>574</v>
      </c>
      <c r="B54" s="2">
        <v>1</v>
      </c>
      <c r="C54" s="2">
        <v>1</v>
      </c>
      <c r="D54" s="2"/>
      <c r="E54" s="2"/>
    </row>
    <row r="55" spans="1:5" ht="15.75" x14ac:dyDescent="0.25">
      <c r="A55" s="16" t="s">
        <v>329</v>
      </c>
      <c r="B55" s="2"/>
      <c r="C55" s="2"/>
      <c r="D55" s="2">
        <v>1</v>
      </c>
      <c r="E55" s="2"/>
    </row>
    <row r="56" spans="1:5" ht="15.75" x14ac:dyDescent="0.25">
      <c r="A56" s="14" t="s">
        <v>461</v>
      </c>
      <c r="B56" s="2">
        <v>1</v>
      </c>
      <c r="C56" s="2"/>
      <c r="D56" s="2"/>
      <c r="E56" s="2"/>
    </row>
    <row r="57" spans="1:5" ht="15.75" x14ac:dyDescent="0.25">
      <c r="A57" s="16" t="s">
        <v>575</v>
      </c>
      <c r="B57" s="2">
        <v>1</v>
      </c>
      <c r="C57" s="2">
        <v>1</v>
      </c>
      <c r="D57" s="2"/>
      <c r="E57" s="2"/>
    </row>
    <row r="58" spans="1:5" ht="15.75" x14ac:dyDescent="0.25">
      <c r="A58" s="14" t="s">
        <v>576</v>
      </c>
      <c r="B58" s="2"/>
      <c r="C58" s="2"/>
      <c r="D58" s="2"/>
      <c r="E58" s="2"/>
    </row>
    <row r="59" spans="1:5" ht="15.75" x14ac:dyDescent="0.25">
      <c r="A59" s="14" t="s">
        <v>577</v>
      </c>
      <c r="B59" s="2"/>
      <c r="C59" s="2"/>
      <c r="D59" s="2"/>
      <c r="E59" s="2"/>
    </row>
    <row r="60" spans="1:5" ht="15.75" x14ac:dyDescent="0.25">
      <c r="A60" s="16" t="s">
        <v>578</v>
      </c>
      <c r="B60" s="2"/>
      <c r="D60" s="2"/>
      <c r="E60" s="2"/>
    </row>
    <row r="61" spans="1:5" ht="15.75" x14ac:dyDescent="0.25">
      <c r="A61" s="14" t="s">
        <v>579</v>
      </c>
      <c r="B61" s="2">
        <v>1</v>
      </c>
      <c r="C61" s="2">
        <v>1</v>
      </c>
      <c r="D61" s="2"/>
      <c r="E61" s="2"/>
    </row>
    <row r="62" spans="1:5" ht="15.75" x14ac:dyDescent="0.25">
      <c r="A62" s="21" t="s">
        <v>580</v>
      </c>
      <c r="B62" s="2">
        <v>1</v>
      </c>
      <c r="C62" s="2">
        <v>1</v>
      </c>
      <c r="D62" s="2">
        <v>1</v>
      </c>
      <c r="E62" s="2"/>
    </row>
    <row r="63" spans="1:5" ht="15.75" x14ac:dyDescent="0.25">
      <c r="A63" s="21" t="s">
        <v>581</v>
      </c>
      <c r="B63" s="2"/>
      <c r="C63" s="2"/>
      <c r="D63" s="2"/>
      <c r="E63" s="2"/>
    </row>
    <row r="64" spans="1:5" x14ac:dyDescent="0.25">
      <c r="A64" s="11" t="s">
        <v>628</v>
      </c>
      <c r="B64" s="2"/>
      <c r="C64" s="2"/>
      <c r="D64" s="2"/>
      <c r="E64" s="2"/>
    </row>
    <row r="65" spans="1:5" ht="15.75" x14ac:dyDescent="0.25">
      <c r="A65" s="16" t="s">
        <v>582</v>
      </c>
      <c r="B65" s="2"/>
      <c r="C65" s="2">
        <v>1</v>
      </c>
      <c r="D65" s="2">
        <v>1</v>
      </c>
      <c r="E65" s="2"/>
    </row>
    <row r="66" spans="1:5" ht="15.75" x14ac:dyDescent="0.25">
      <c r="A66" s="16" t="s">
        <v>583</v>
      </c>
      <c r="B66" s="2">
        <v>1</v>
      </c>
      <c r="C66" s="2">
        <v>1</v>
      </c>
      <c r="D66" s="2"/>
      <c r="E66" s="2"/>
    </row>
    <row r="67" spans="1:5" ht="15.75" x14ac:dyDescent="0.25">
      <c r="A67" s="22" t="s">
        <v>584</v>
      </c>
      <c r="B67" s="2">
        <v>1</v>
      </c>
      <c r="C67" s="2">
        <v>1</v>
      </c>
      <c r="D67" s="2"/>
      <c r="E67" s="2"/>
    </row>
    <row r="68" spans="1:5" ht="15.75" x14ac:dyDescent="0.25">
      <c r="A68" s="16" t="s">
        <v>33</v>
      </c>
      <c r="B68" s="2">
        <v>1</v>
      </c>
      <c r="C68" s="2">
        <v>1</v>
      </c>
      <c r="D68" s="2"/>
      <c r="E68" s="2"/>
    </row>
    <row r="69" spans="1:5" ht="15.75" x14ac:dyDescent="0.25">
      <c r="A69" s="16" t="s">
        <v>585</v>
      </c>
      <c r="B69" s="2">
        <v>1</v>
      </c>
      <c r="C69" s="2">
        <v>1</v>
      </c>
      <c r="D69" s="2"/>
      <c r="E69" s="2"/>
    </row>
    <row r="70" spans="1:5" x14ac:dyDescent="0.25">
      <c r="A70" s="37" t="s">
        <v>73</v>
      </c>
      <c r="B70" s="2">
        <v>1</v>
      </c>
      <c r="C70" s="2">
        <v>1</v>
      </c>
      <c r="D70" s="2">
        <v>1</v>
      </c>
      <c r="E70" s="2"/>
    </row>
    <row r="71" spans="1:5" ht="30.75" x14ac:dyDescent="0.25">
      <c r="A71" s="16" t="s">
        <v>586</v>
      </c>
      <c r="B71" s="2"/>
      <c r="C71" s="2"/>
      <c r="D71" s="2"/>
      <c r="E71" s="2"/>
    </row>
    <row r="72" spans="1:5" ht="15.75" x14ac:dyDescent="0.25">
      <c r="A72" s="16" t="s">
        <v>587</v>
      </c>
      <c r="B72" s="2">
        <v>1</v>
      </c>
      <c r="C72" s="2">
        <v>1</v>
      </c>
      <c r="D72" s="2">
        <v>1</v>
      </c>
      <c r="E72" s="2"/>
    </row>
    <row r="73" spans="1:5" ht="15.75" x14ac:dyDescent="0.25">
      <c r="A73" s="16" t="s">
        <v>471</v>
      </c>
      <c r="B73" s="2"/>
      <c r="C73" s="2"/>
      <c r="D73" s="2"/>
      <c r="E73" s="2"/>
    </row>
    <row r="74" spans="1:5" ht="15.75" x14ac:dyDescent="0.25">
      <c r="A74" s="14" t="s">
        <v>336</v>
      </c>
      <c r="B74" s="2">
        <v>1</v>
      </c>
      <c r="C74" s="2">
        <v>1</v>
      </c>
      <c r="D74" s="2">
        <v>1</v>
      </c>
      <c r="E74" s="2"/>
    </row>
    <row r="75" spans="1:5" ht="15.75" x14ac:dyDescent="0.25">
      <c r="A75" s="14" t="s">
        <v>133</v>
      </c>
      <c r="B75" s="2"/>
      <c r="C75" s="2"/>
      <c r="D75" s="2"/>
      <c r="E75" s="2"/>
    </row>
    <row r="76" spans="1:5" ht="15.75" x14ac:dyDescent="0.25">
      <c r="A76" s="14" t="s">
        <v>588</v>
      </c>
      <c r="B76" s="2"/>
      <c r="C76" s="2"/>
      <c r="D76" s="2"/>
      <c r="E76" s="2"/>
    </row>
    <row r="77" spans="1:5" ht="15.75" x14ac:dyDescent="0.25">
      <c r="A77" s="14" t="s">
        <v>516</v>
      </c>
      <c r="B77" s="2"/>
      <c r="C77" s="2"/>
      <c r="D77" s="2"/>
      <c r="E77" s="2"/>
    </row>
    <row r="78" spans="1:5" ht="15.75" x14ac:dyDescent="0.25">
      <c r="A78" s="16" t="s">
        <v>589</v>
      </c>
      <c r="B78" s="2">
        <v>1</v>
      </c>
      <c r="C78" s="2"/>
      <c r="D78" s="2"/>
      <c r="E78" s="2"/>
    </row>
    <row r="79" spans="1:5" ht="15.75" x14ac:dyDescent="0.25">
      <c r="A79" s="22" t="s">
        <v>590</v>
      </c>
      <c r="B79" s="2"/>
      <c r="C79" s="2"/>
      <c r="D79" s="2"/>
      <c r="E79" s="2"/>
    </row>
    <row r="80" spans="1:5" ht="15.75" x14ac:dyDescent="0.25">
      <c r="A80" s="14" t="s">
        <v>591</v>
      </c>
      <c r="B80" s="2"/>
      <c r="C80" s="2"/>
      <c r="D80" s="2">
        <v>1</v>
      </c>
      <c r="E80" s="2"/>
    </row>
    <row r="81" spans="1:5" x14ac:dyDescent="0.25">
      <c r="A81" s="37" t="s">
        <v>629</v>
      </c>
      <c r="B81" s="2"/>
      <c r="C81" s="2"/>
      <c r="D81" s="2"/>
      <c r="E81" s="2"/>
    </row>
    <row r="82" spans="1:5" ht="15.75" x14ac:dyDescent="0.25">
      <c r="A82" s="16" t="s">
        <v>592</v>
      </c>
      <c r="B82" s="2">
        <v>1</v>
      </c>
      <c r="C82" s="2">
        <v>1</v>
      </c>
      <c r="D82" s="2"/>
      <c r="E82" s="2"/>
    </row>
    <row r="83" spans="1:5" ht="15.75" x14ac:dyDescent="0.25">
      <c r="A83" s="14" t="s">
        <v>593</v>
      </c>
      <c r="B83" s="2"/>
      <c r="C83" s="2"/>
      <c r="D83" s="2"/>
      <c r="E83" s="2"/>
    </row>
    <row r="84" spans="1:5" ht="15.75" x14ac:dyDescent="0.25">
      <c r="A84" s="16" t="s">
        <v>274</v>
      </c>
      <c r="B84" s="2">
        <v>1</v>
      </c>
      <c r="C84" s="2">
        <v>1</v>
      </c>
      <c r="D84" s="2">
        <v>1</v>
      </c>
      <c r="E84" s="2"/>
    </row>
    <row r="85" spans="1:5" ht="15.75" x14ac:dyDescent="0.25">
      <c r="A85" s="18" t="s">
        <v>525</v>
      </c>
      <c r="B85" s="2"/>
      <c r="C85" s="2"/>
      <c r="D85" s="2"/>
      <c r="E85" s="2"/>
    </row>
    <row r="86" spans="1:5" ht="15.75" x14ac:dyDescent="0.25">
      <c r="A86" s="22" t="s">
        <v>594</v>
      </c>
      <c r="B86" s="2">
        <v>1</v>
      </c>
      <c r="C86" s="2">
        <v>1</v>
      </c>
      <c r="D86" s="2"/>
      <c r="E86" s="2"/>
    </row>
    <row r="87" spans="1:5" ht="15.75" x14ac:dyDescent="0.25">
      <c r="A87" s="14" t="s">
        <v>595</v>
      </c>
      <c r="B87" s="2"/>
      <c r="C87" s="2"/>
      <c r="D87" s="2"/>
      <c r="E87" s="2"/>
    </row>
    <row r="88" spans="1:5" x14ac:dyDescent="0.25">
      <c r="A88" s="11" t="s">
        <v>401</v>
      </c>
      <c r="B88" s="2">
        <v>1</v>
      </c>
      <c r="C88" s="2">
        <v>1</v>
      </c>
      <c r="D88" s="2"/>
      <c r="E88" s="2"/>
    </row>
    <row r="89" spans="1:5" ht="15.75" x14ac:dyDescent="0.25">
      <c r="A89" s="14" t="s">
        <v>529</v>
      </c>
      <c r="B89" s="2"/>
      <c r="C89" s="2"/>
      <c r="D89" s="2"/>
      <c r="E89" s="2"/>
    </row>
    <row r="90" spans="1:5" ht="30.75" x14ac:dyDescent="0.25">
      <c r="A90" s="16" t="s">
        <v>596</v>
      </c>
      <c r="B90" s="2">
        <v>1</v>
      </c>
      <c r="C90" s="2">
        <v>1</v>
      </c>
      <c r="D90" s="2"/>
      <c r="E90" s="2"/>
    </row>
    <row r="91" spans="1:5" x14ac:dyDescent="0.25">
      <c r="A91" s="13" t="s">
        <v>278</v>
      </c>
      <c r="B91" s="2"/>
      <c r="C91" s="2"/>
      <c r="D91" s="2"/>
      <c r="E91" s="2"/>
    </row>
    <row r="92" spans="1:5" ht="15.75" x14ac:dyDescent="0.25">
      <c r="A92" s="18" t="s">
        <v>279</v>
      </c>
      <c r="B92" s="2"/>
      <c r="C92" s="2"/>
      <c r="D92" s="2"/>
      <c r="E92" s="2"/>
    </row>
    <row r="93" spans="1:5" ht="15.75" x14ac:dyDescent="0.25">
      <c r="A93" s="14" t="s">
        <v>597</v>
      </c>
      <c r="B93" s="2"/>
      <c r="C93" s="2">
        <v>1</v>
      </c>
      <c r="D93" s="2"/>
      <c r="E93" s="2"/>
    </row>
    <row r="94" spans="1:5" ht="15.75" x14ac:dyDescent="0.25">
      <c r="A94" s="14" t="s">
        <v>477</v>
      </c>
      <c r="B94" s="2"/>
      <c r="C94" s="2"/>
      <c r="D94" s="2"/>
      <c r="E94" s="2"/>
    </row>
    <row r="95" spans="1:5" ht="15.75" x14ac:dyDescent="0.25">
      <c r="A95" s="22" t="s">
        <v>146</v>
      </c>
      <c r="B95" s="2">
        <v>1</v>
      </c>
      <c r="C95" s="2">
        <v>1</v>
      </c>
      <c r="D95" s="2"/>
      <c r="E95" s="2"/>
    </row>
    <row r="96" spans="1:5" ht="15.75" x14ac:dyDescent="0.25">
      <c r="A96" s="16" t="s">
        <v>598</v>
      </c>
      <c r="B96" s="2">
        <v>1</v>
      </c>
      <c r="C96" s="2">
        <v>1</v>
      </c>
      <c r="D96" s="2"/>
      <c r="E96" s="2"/>
    </row>
    <row r="97" spans="1:5" ht="15.75" x14ac:dyDescent="0.25">
      <c r="A97" s="21" t="s">
        <v>599</v>
      </c>
      <c r="B97" s="2">
        <v>1</v>
      </c>
      <c r="C97" s="2">
        <v>1</v>
      </c>
      <c r="D97" s="2"/>
      <c r="E97" s="2"/>
    </row>
    <row r="98" spans="1:5" ht="15.75" x14ac:dyDescent="0.25">
      <c r="A98" s="14" t="s">
        <v>600</v>
      </c>
      <c r="B98" s="2">
        <v>1</v>
      </c>
      <c r="C98" s="39">
        <v>1</v>
      </c>
      <c r="D98" s="2"/>
      <c r="E98" s="2"/>
    </row>
    <row r="99" spans="1:5" ht="15.75" x14ac:dyDescent="0.25">
      <c r="A99" s="14" t="s">
        <v>601</v>
      </c>
      <c r="B99" s="2">
        <v>1</v>
      </c>
      <c r="C99" s="2">
        <v>1</v>
      </c>
      <c r="D99" s="2"/>
      <c r="E99" s="2"/>
    </row>
    <row r="100" spans="1:5" ht="15.75" x14ac:dyDescent="0.25">
      <c r="A100" s="14" t="s">
        <v>602</v>
      </c>
      <c r="B100" s="2"/>
      <c r="C100" s="2"/>
      <c r="D100" s="2"/>
      <c r="E100" s="2"/>
    </row>
    <row r="101" spans="1:5" ht="15.75" x14ac:dyDescent="0.25">
      <c r="A101" s="16" t="s">
        <v>603</v>
      </c>
      <c r="B101" s="2"/>
      <c r="C101" s="2"/>
      <c r="D101" s="2"/>
      <c r="E101" s="2"/>
    </row>
    <row r="102" spans="1:5" x14ac:dyDescent="0.25">
      <c r="A102" s="11" t="s">
        <v>630</v>
      </c>
      <c r="B102" s="2">
        <v>1</v>
      </c>
      <c r="C102" s="2">
        <v>1</v>
      </c>
      <c r="D102" s="2"/>
      <c r="E102" s="2"/>
    </row>
    <row r="103" spans="1:5" ht="15.75" x14ac:dyDescent="0.25">
      <c r="A103" s="14" t="s">
        <v>409</v>
      </c>
      <c r="B103" s="2">
        <v>1</v>
      </c>
      <c r="C103" s="2">
        <v>1</v>
      </c>
      <c r="D103" s="2"/>
      <c r="E103" s="2"/>
    </row>
    <row r="104" spans="1:5" x14ac:dyDescent="0.25">
      <c r="A104" s="37" t="s">
        <v>631</v>
      </c>
      <c r="B104" s="2">
        <v>1</v>
      </c>
      <c r="C104" s="2">
        <v>1</v>
      </c>
      <c r="D104" s="2"/>
      <c r="E104" s="2"/>
    </row>
    <row r="105" spans="1:5" x14ac:dyDescent="0.25">
      <c r="A105" s="37" t="s">
        <v>151</v>
      </c>
      <c r="B105" s="2"/>
      <c r="C105" s="2">
        <v>1</v>
      </c>
      <c r="D105" s="2"/>
      <c r="E105" s="2"/>
    </row>
    <row r="106" spans="1:5" ht="15.75" x14ac:dyDescent="0.25">
      <c r="A106" s="17" t="s">
        <v>604</v>
      </c>
      <c r="B106" s="2">
        <v>1</v>
      </c>
      <c r="C106" s="2">
        <v>1</v>
      </c>
      <c r="D106" s="2">
        <v>1</v>
      </c>
      <c r="E106" s="2">
        <v>1</v>
      </c>
    </row>
    <row r="107" spans="1:5" ht="15.75" x14ac:dyDescent="0.25">
      <c r="A107" s="16" t="s">
        <v>605</v>
      </c>
      <c r="B107" s="2"/>
      <c r="C107" s="2"/>
      <c r="D107" s="2"/>
      <c r="E107" s="2"/>
    </row>
    <row r="108" spans="1:5" x14ac:dyDescent="0.25">
      <c r="A108" s="13" t="s">
        <v>632</v>
      </c>
      <c r="B108" s="2"/>
      <c r="C108" s="2">
        <v>1</v>
      </c>
      <c r="D108" s="2"/>
      <c r="E108" s="2"/>
    </row>
    <row r="109" spans="1:5" ht="15.75" x14ac:dyDescent="0.25">
      <c r="A109" s="14" t="s">
        <v>606</v>
      </c>
      <c r="B109" s="2">
        <v>1</v>
      </c>
      <c r="C109" s="2">
        <v>1</v>
      </c>
      <c r="D109" s="2"/>
      <c r="E109" s="2"/>
    </row>
    <row r="110" spans="1:5" ht="15.75" x14ac:dyDescent="0.25">
      <c r="A110" s="17" t="s">
        <v>607</v>
      </c>
      <c r="B110" s="2"/>
      <c r="C110" s="2"/>
      <c r="D110" s="2"/>
      <c r="E110" s="2"/>
    </row>
    <row r="111" spans="1:5" ht="30.75" x14ac:dyDescent="0.25">
      <c r="A111" s="16" t="s">
        <v>608</v>
      </c>
      <c r="B111" s="2">
        <v>1</v>
      </c>
      <c r="C111" s="2"/>
      <c r="D111" s="2"/>
      <c r="E111" s="2"/>
    </row>
    <row r="112" spans="1:5" x14ac:dyDescent="0.25">
      <c r="A112" s="37" t="s">
        <v>633</v>
      </c>
      <c r="B112" s="2"/>
      <c r="C112" s="2"/>
      <c r="D112" s="2"/>
      <c r="E112" s="2"/>
    </row>
    <row r="113" spans="1:5" ht="15.75" x14ac:dyDescent="0.25">
      <c r="A113" s="14" t="s">
        <v>609</v>
      </c>
      <c r="B113" s="2">
        <v>1</v>
      </c>
      <c r="C113" s="2">
        <v>1</v>
      </c>
      <c r="D113" s="2">
        <v>1</v>
      </c>
      <c r="E113" s="2"/>
    </row>
    <row r="114" spans="1:5" x14ac:dyDescent="0.25">
      <c r="A114" s="13" t="s">
        <v>634</v>
      </c>
      <c r="B114" s="2">
        <v>1</v>
      </c>
      <c r="C114" s="2"/>
      <c r="D114" s="2"/>
      <c r="E114" s="2"/>
    </row>
    <row r="115" spans="1:5" ht="15.75" x14ac:dyDescent="0.25">
      <c r="A115" s="14" t="s">
        <v>610</v>
      </c>
      <c r="B115" s="2"/>
      <c r="C115" s="2"/>
      <c r="D115" s="2"/>
      <c r="E115" s="2"/>
    </row>
    <row r="116" spans="1:5" ht="15.75" x14ac:dyDescent="0.25">
      <c r="A116" s="18" t="s">
        <v>157</v>
      </c>
      <c r="B116" s="2"/>
      <c r="C116" s="2"/>
      <c r="D116" s="2"/>
      <c r="E116" s="2"/>
    </row>
    <row r="117" spans="1:5" ht="15.75" x14ac:dyDescent="0.25">
      <c r="A117" s="14" t="s">
        <v>611</v>
      </c>
      <c r="B117" s="2">
        <v>1</v>
      </c>
      <c r="C117" s="2">
        <v>1</v>
      </c>
      <c r="D117" s="2"/>
      <c r="E117" s="2"/>
    </row>
    <row r="118" spans="1:5" ht="15.75" x14ac:dyDescent="0.25">
      <c r="A118" s="38" t="s">
        <v>612</v>
      </c>
      <c r="B118" s="2"/>
      <c r="C118" s="2"/>
      <c r="D118" s="2"/>
      <c r="E118" s="2"/>
    </row>
    <row r="119" spans="1:5" x14ac:dyDescent="0.25">
      <c r="A119" s="37" t="s">
        <v>635</v>
      </c>
      <c r="B119" s="2"/>
      <c r="C119" s="2"/>
      <c r="D119" s="2"/>
      <c r="E119" s="2"/>
    </row>
    <row r="120" spans="1:5" ht="15.75" x14ac:dyDescent="0.25">
      <c r="A120" s="16" t="s">
        <v>613</v>
      </c>
      <c r="B120" s="2"/>
      <c r="C120" s="2"/>
      <c r="D120" s="2"/>
      <c r="E120" s="2"/>
    </row>
    <row r="121" spans="1:5" ht="15.75" x14ac:dyDescent="0.25">
      <c r="A121" s="14" t="s">
        <v>90</v>
      </c>
      <c r="B121" s="2"/>
      <c r="C121" s="2">
        <v>1</v>
      </c>
      <c r="D121" s="2"/>
      <c r="E121" s="2"/>
    </row>
    <row r="122" spans="1:5" ht="15.75" x14ac:dyDescent="0.25">
      <c r="A122" s="14" t="s">
        <v>300</v>
      </c>
      <c r="B122" s="2"/>
      <c r="C122" s="2"/>
      <c r="D122" s="2"/>
      <c r="E122" s="2"/>
    </row>
    <row r="123" spans="1:5" ht="15.75" x14ac:dyDescent="0.25">
      <c r="A123" s="14" t="s">
        <v>301</v>
      </c>
      <c r="B123" s="2">
        <v>1</v>
      </c>
      <c r="C123" s="2">
        <v>1</v>
      </c>
      <c r="D123" s="2">
        <v>1</v>
      </c>
      <c r="E123" s="2"/>
    </row>
    <row r="124" spans="1:5" ht="15.75" x14ac:dyDescent="0.25">
      <c r="A124" s="16" t="s">
        <v>614</v>
      </c>
      <c r="B124" s="2"/>
      <c r="C124" s="2">
        <v>1</v>
      </c>
      <c r="D124" s="2"/>
      <c r="E124" s="2"/>
    </row>
    <row r="125" spans="1:5" ht="15.75" x14ac:dyDescent="0.25">
      <c r="A125" s="16" t="s">
        <v>615</v>
      </c>
      <c r="B125" s="2"/>
      <c r="C125" s="2"/>
      <c r="D125" s="2"/>
      <c r="E125" s="2"/>
    </row>
    <row r="126" spans="1:5" ht="15.75" x14ac:dyDescent="0.25">
      <c r="A126" s="14" t="s">
        <v>94</v>
      </c>
      <c r="B126" s="2">
        <v>1</v>
      </c>
      <c r="C126" s="2">
        <v>1</v>
      </c>
      <c r="D126" s="2">
        <v>1</v>
      </c>
      <c r="E126" s="2"/>
    </row>
    <row r="127" spans="1:5" x14ac:dyDescent="0.25">
      <c r="A127" s="13" t="s">
        <v>636</v>
      </c>
      <c r="B127" s="2"/>
      <c r="C127" s="2"/>
      <c r="D127" s="2"/>
      <c r="E127" s="2"/>
    </row>
    <row r="128" spans="1:5" ht="15.75" x14ac:dyDescent="0.25">
      <c r="A128" s="14" t="s">
        <v>616</v>
      </c>
      <c r="B128" s="2"/>
      <c r="C128" s="2"/>
      <c r="D128" s="2"/>
      <c r="E128" s="2"/>
    </row>
    <row r="129" spans="1:5" ht="15.75" x14ac:dyDescent="0.25">
      <c r="A129" s="14" t="s">
        <v>305</v>
      </c>
      <c r="B129" s="2">
        <v>1</v>
      </c>
      <c r="C129" s="2">
        <v>1</v>
      </c>
      <c r="D129" s="2">
        <v>1</v>
      </c>
      <c r="E129" s="2">
        <v>1</v>
      </c>
    </row>
    <row r="130" spans="1:5" ht="15.75" x14ac:dyDescent="0.25">
      <c r="A130" s="16" t="s">
        <v>306</v>
      </c>
      <c r="B130" s="2">
        <v>1</v>
      </c>
      <c r="C130" s="2">
        <v>1</v>
      </c>
      <c r="D130" s="2"/>
      <c r="E130" s="2"/>
    </row>
    <row r="131" spans="1:5" ht="15.75" x14ac:dyDescent="0.25">
      <c r="A131" s="14" t="s">
        <v>447</v>
      </c>
      <c r="B131" s="2"/>
      <c r="C131" s="2"/>
      <c r="D131" s="2"/>
      <c r="E131" s="2"/>
    </row>
    <row r="132" spans="1:5" x14ac:dyDescent="0.25">
      <c r="A132" s="37" t="s">
        <v>637</v>
      </c>
      <c r="B132" s="2"/>
      <c r="C132" s="2"/>
      <c r="D132" s="2">
        <v>1</v>
      </c>
      <c r="E132" s="2"/>
    </row>
    <row r="133" spans="1:5" x14ac:dyDescent="0.25">
      <c r="A133" s="37" t="s">
        <v>638</v>
      </c>
      <c r="B133" s="2"/>
      <c r="C133" s="2">
        <v>1</v>
      </c>
      <c r="D133" s="2"/>
      <c r="E133" s="2"/>
    </row>
    <row r="134" spans="1:5" x14ac:dyDescent="0.25">
      <c r="A134" s="13" t="s">
        <v>639</v>
      </c>
      <c r="B134" s="2"/>
      <c r="C134" s="2">
        <v>1</v>
      </c>
      <c r="D134" s="2"/>
      <c r="E134" s="2"/>
    </row>
    <row r="135" spans="1:5" x14ac:dyDescent="0.25">
      <c r="A135" s="13" t="s">
        <v>640</v>
      </c>
      <c r="B135" s="2">
        <v>1</v>
      </c>
      <c r="C135" s="2">
        <v>1</v>
      </c>
      <c r="D135" s="2"/>
      <c r="E135" s="2"/>
    </row>
    <row r="136" spans="1:5" ht="15.75" x14ac:dyDescent="0.25">
      <c r="A136" s="17" t="s">
        <v>617</v>
      </c>
      <c r="B136" s="2"/>
      <c r="C136" s="2"/>
      <c r="D136" s="2"/>
      <c r="E136" s="2"/>
    </row>
    <row r="137" spans="1:5" x14ac:dyDescent="0.25">
      <c r="A137" s="37" t="s">
        <v>641</v>
      </c>
      <c r="B137" s="2"/>
      <c r="C137" s="2"/>
      <c r="D137" s="2"/>
      <c r="E137" s="2"/>
    </row>
  </sheetData>
  <autoFilter ref="A1:D197" xr:uid="{AA2A43E8-E0F1-400E-A701-8912F734C60D}">
    <sortState xmlns:xlrd2="http://schemas.microsoft.com/office/spreadsheetml/2017/richdata2" ref="A2:D197">
      <sortCondition ref="A1:A197"/>
    </sortState>
  </autoFilter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2812-9932-4283-9F22-A22FF3E2F78A}">
  <dimension ref="A1:K114"/>
  <sheetViews>
    <sheetView topLeftCell="B1" workbookViewId="0">
      <selection activeCell="D29" sqref="D29"/>
    </sheetView>
  </sheetViews>
  <sheetFormatPr defaultRowHeight="15" x14ac:dyDescent="0.25"/>
  <cols>
    <col min="1" max="1" width="22.85546875" customWidth="1"/>
    <col min="2" max="2" width="7.85546875" bestFit="1" customWidth="1"/>
    <col min="3" max="3" width="15.5703125" bestFit="1" customWidth="1"/>
    <col min="4" max="4" width="15.140625" bestFit="1" customWidth="1"/>
    <col min="5" max="5" width="14.140625" bestFit="1" customWidth="1"/>
    <col min="8" max="8" width="15" bestFit="1" customWidth="1"/>
    <col min="9" max="9" width="22.85546875" bestFit="1" customWidth="1"/>
    <col min="10" max="10" width="22.5703125" bestFit="1" customWidth="1"/>
    <col min="11" max="11" width="21.5703125" bestFit="1" customWidth="1"/>
  </cols>
  <sheetData>
    <row r="1" spans="1:11" x14ac:dyDescent="0.25">
      <c r="A1" s="96" t="s">
        <v>52</v>
      </c>
      <c r="B1" s="94" t="s">
        <v>211</v>
      </c>
      <c r="C1" s="94" t="s">
        <v>0</v>
      </c>
      <c r="D1" s="94" t="s">
        <v>1</v>
      </c>
      <c r="E1" s="94" t="s">
        <v>642</v>
      </c>
      <c r="H1" s="2" t="s">
        <v>354</v>
      </c>
      <c r="I1" s="2" t="s">
        <v>355</v>
      </c>
      <c r="J1" s="2" t="s">
        <v>356</v>
      </c>
      <c r="K1" s="2" t="s">
        <v>644</v>
      </c>
    </row>
    <row r="2" spans="1:11" ht="15.75" x14ac:dyDescent="0.25">
      <c r="A2" s="16" t="s">
        <v>645</v>
      </c>
      <c r="B2" s="2"/>
      <c r="C2" s="2">
        <v>1</v>
      </c>
      <c r="D2" s="2"/>
      <c r="E2" s="2"/>
      <c r="H2" s="97">
        <v>59</v>
      </c>
      <c r="I2" s="97">
        <v>68</v>
      </c>
      <c r="J2" s="97">
        <v>24</v>
      </c>
      <c r="K2" s="97">
        <v>4</v>
      </c>
    </row>
    <row r="3" spans="1:11" ht="15.75" x14ac:dyDescent="0.25">
      <c r="A3" s="14" t="s">
        <v>54</v>
      </c>
      <c r="B3" s="2"/>
      <c r="C3" s="2">
        <v>1</v>
      </c>
      <c r="D3" s="2">
        <v>1</v>
      </c>
      <c r="E3" s="2"/>
    </row>
    <row r="4" spans="1:11" ht="15.75" x14ac:dyDescent="0.25">
      <c r="A4" s="16" t="s">
        <v>646</v>
      </c>
      <c r="B4" s="2"/>
      <c r="C4" s="2">
        <v>1</v>
      </c>
      <c r="D4" s="2"/>
      <c r="E4" s="2"/>
    </row>
    <row r="5" spans="1:11" ht="15.75" x14ac:dyDescent="0.25">
      <c r="A5" s="16" t="s">
        <v>710</v>
      </c>
      <c r="B5" s="2">
        <v>1</v>
      </c>
      <c r="C5" s="2"/>
      <c r="D5" s="2"/>
      <c r="E5" s="2"/>
    </row>
    <row r="6" spans="1:11" ht="15.75" x14ac:dyDescent="0.25">
      <c r="A6" s="16" t="s">
        <v>647</v>
      </c>
      <c r="B6" s="2"/>
      <c r="C6" s="2">
        <v>1</v>
      </c>
      <c r="D6" s="2"/>
      <c r="E6" s="2"/>
    </row>
    <row r="7" spans="1:11" ht="15.75" x14ac:dyDescent="0.25">
      <c r="A7" s="16" t="s">
        <v>711</v>
      </c>
      <c r="B7" s="2"/>
      <c r="C7" s="2"/>
      <c r="D7" s="2"/>
      <c r="E7" s="2"/>
    </row>
    <row r="8" spans="1:11" ht="15.75" x14ac:dyDescent="0.25">
      <c r="A8" s="21" t="s">
        <v>648</v>
      </c>
      <c r="B8" s="2">
        <v>1</v>
      </c>
      <c r="C8" s="2">
        <v>1</v>
      </c>
      <c r="D8" s="2"/>
      <c r="E8" s="2"/>
    </row>
    <row r="9" spans="1:11" ht="30.75" x14ac:dyDescent="0.25">
      <c r="A9" s="14" t="s">
        <v>712</v>
      </c>
      <c r="B9" s="2"/>
      <c r="C9" s="2"/>
      <c r="D9" s="2"/>
      <c r="E9" s="2"/>
    </row>
    <row r="10" spans="1:11" ht="15.75" x14ac:dyDescent="0.25">
      <c r="A10" s="22" t="s">
        <v>57</v>
      </c>
      <c r="B10" s="2"/>
      <c r="C10" s="2">
        <v>1</v>
      </c>
      <c r="D10" s="2"/>
      <c r="E10" s="2"/>
    </row>
    <row r="11" spans="1:11" ht="15.75" x14ac:dyDescent="0.25">
      <c r="A11" s="16" t="s">
        <v>649</v>
      </c>
      <c r="B11" s="2">
        <v>1</v>
      </c>
      <c r="C11" s="2">
        <v>1</v>
      </c>
      <c r="D11" s="2"/>
      <c r="E11" s="2"/>
    </row>
    <row r="12" spans="1:11" ht="30.75" x14ac:dyDescent="0.25">
      <c r="A12" s="14" t="s">
        <v>713</v>
      </c>
      <c r="B12" s="2"/>
      <c r="C12" s="2"/>
      <c r="D12" s="2"/>
      <c r="E12" s="2"/>
    </row>
    <row r="13" spans="1:11" ht="60.75" x14ac:dyDescent="0.25">
      <c r="A13" s="16" t="s">
        <v>650</v>
      </c>
      <c r="B13" s="2">
        <v>1</v>
      </c>
      <c r="C13" s="2">
        <v>1</v>
      </c>
      <c r="D13" s="2"/>
      <c r="E13" s="2"/>
    </row>
    <row r="14" spans="1:11" ht="15.75" x14ac:dyDescent="0.25">
      <c r="A14" s="16" t="s">
        <v>224</v>
      </c>
      <c r="B14" s="2">
        <v>1</v>
      </c>
      <c r="C14" s="2">
        <v>1</v>
      </c>
      <c r="D14" s="2"/>
      <c r="E14" s="2"/>
    </row>
    <row r="15" spans="1:11" ht="15.75" x14ac:dyDescent="0.25">
      <c r="A15" s="16" t="s">
        <v>226</v>
      </c>
      <c r="B15" s="2"/>
      <c r="C15" s="2">
        <v>1</v>
      </c>
      <c r="D15" s="2"/>
      <c r="E15" s="2"/>
    </row>
    <row r="16" spans="1:11" ht="15.75" x14ac:dyDescent="0.25">
      <c r="A16" s="14" t="s">
        <v>651</v>
      </c>
      <c r="B16" s="2"/>
      <c r="C16" s="2">
        <v>1</v>
      </c>
      <c r="D16" s="2">
        <v>1</v>
      </c>
      <c r="E16" s="2">
        <v>1</v>
      </c>
    </row>
    <row r="17" spans="1:5" ht="30.75" x14ac:dyDescent="0.25">
      <c r="A17" s="17" t="s">
        <v>107</v>
      </c>
      <c r="B17" s="2">
        <v>1</v>
      </c>
      <c r="C17" s="2">
        <v>1</v>
      </c>
      <c r="D17" s="2">
        <v>1</v>
      </c>
      <c r="E17" s="2">
        <v>1</v>
      </c>
    </row>
    <row r="18" spans="1:5" ht="15.75" x14ac:dyDescent="0.25">
      <c r="A18" s="18" t="s">
        <v>181</v>
      </c>
      <c r="B18" s="2"/>
      <c r="C18" s="2"/>
      <c r="D18" s="2"/>
      <c r="E18" s="2"/>
    </row>
    <row r="19" spans="1:5" ht="15.75" x14ac:dyDescent="0.25">
      <c r="A19" s="16" t="s">
        <v>714</v>
      </c>
      <c r="B19" s="2">
        <v>1</v>
      </c>
      <c r="C19" s="2"/>
      <c r="D19" s="2"/>
      <c r="E19" s="2"/>
    </row>
    <row r="20" spans="1:5" ht="15.75" x14ac:dyDescent="0.25">
      <c r="A20" s="16" t="s">
        <v>652</v>
      </c>
      <c r="B20" s="2"/>
      <c r="C20" s="2">
        <v>1</v>
      </c>
      <c r="D20" s="2"/>
      <c r="E20" s="2"/>
    </row>
    <row r="21" spans="1:5" ht="30.75" x14ac:dyDescent="0.25">
      <c r="A21" s="16" t="s">
        <v>653</v>
      </c>
      <c r="B21" s="2">
        <v>1</v>
      </c>
      <c r="C21" s="2">
        <v>1</v>
      </c>
      <c r="D21" s="2"/>
      <c r="E21" s="2"/>
    </row>
    <row r="22" spans="1:5" ht="15.75" x14ac:dyDescent="0.25">
      <c r="A22" s="16" t="s">
        <v>499</v>
      </c>
      <c r="B22" s="2"/>
      <c r="C22" s="2"/>
      <c r="D22" s="2"/>
      <c r="E22" s="2"/>
    </row>
    <row r="23" spans="1:5" ht="15.75" x14ac:dyDescent="0.25">
      <c r="A23" s="14" t="s">
        <v>654</v>
      </c>
      <c r="B23" s="2">
        <v>1</v>
      </c>
      <c r="C23" s="2">
        <v>1</v>
      </c>
      <c r="D23" s="2"/>
      <c r="E23" s="2"/>
    </row>
    <row r="24" spans="1:5" ht="30.75" x14ac:dyDescent="0.25">
      <c r="A24" s="38" t="s">
        <v>231</v>
      </c>
      <c r="B24" s="2"/>
      <c r="C24" s="2"/>
      <c r="D24" s="2"/>
      <c r="E24" s="2"/>
    </row>
    <row r="25" spans="1:5" ht="15.75" x14ac:dyDescent="0.25">
      <c r="A25" s="16" t="s">
        <v>655</v>
      </c>
      <c r="B25" s="2"/>
      <c r="C25" s="2"/>
      <c r="D25" s="2"/>
      <c r="E25" s="2"/>
    </row>
    <row r="26" spans="1:5" ht="15.75" x14ac:dyDescent="0.25">
      <c r="A26" s="16" t="s">
        <v>656</v>
      </c>
      <c r="B26" s="2">
        <v>1</v>
      </c>
      <c r="C26" s="2">
        <v>1</v>
      </c>
      <c r="D26" s="2"/>
      <c r="E26" s="2"/>
    </row>
    <row r="27" spans="1:5" ht="15.75" x14ac:dyDescent="0.25">
      <c r="A27" s="14" t="s">
        <v>657</v>
      </c>
      <c r="B27" s="2"/>
      <c r="C27" s="2">
        <v>1</v>
      </c>
      <c r="D27" s="2"/>
      <c r="E27" s="2"/>
    </row>
    <row r="28" spans="1:5" ht="15.75" x14ac:dyDescent="0.25">
      <c r="A28" s="16" t="s">
        <v>658</v>
      </c>
      <c r="B28" s="2">
        <v>1</v>
      </c>
      <c r="C28" s="2">
        <v>1</v>
      </c>
      <c r="D28" s="2">
        <v>1</v>
      </c>
      <c r="E28" s="2"/>
    </row>
    <row r="29" spans="1:5" ht="30.75" x14ac:dyDescent="0.25">
      <c r="A29" s="22" t="s">
        <v>564</v>
      </c>
      <c r="B29" s="2"/>
      <c r="C29" s="2"/>
      <c r="D29" s="2"/>
      <c r="E29" s="2"/>
    </row>
    <row r="30" spans="1:5" ht="15.75" x14ac:dyDescent="0.25">
      <c r="A30" s="16" t="s">
        <v>20</v>
      </c>
      <c r="B30" s="2"/>
      <c r="C30" s="2"/>
      <c r="D30" s="2"/>
      <c r="E30" s="2"/>
    </row>
    <row r="31" spans="1:5" ht="15.75" x14ac:dyDescent="0.25">
      <c r="A31" s="21" t="s">
        <v>659</v>
      </c>
      <c r="B31" s="2"/>
      <c r="C31" s="2"/>
      <c r="D31" s="2"/>
      <c r="E31" s="2"/>
    </row>
    <row r="32" spans="1:5" ht="15.75" x14ac:dyDescent="0.25">
      <c r="A32" s="16" t="s">
        <v>660</v>
      </c>
      <c r="B32" s="2">
        <v>1</v>
      </c>
      <c r="C32" s="2">
        <v>1</v>
      </c>
      <c r="D32" s="2">
        <v>1</v>
      </c>
      <c r="E32" s="2"/>
    </row>
    <row r="33" spans="1:5" ht="30.75" x14ac:dyDescent="0.25">
      <c r="A33" s="16" t="s">
        <v>63</v>
      </c>
      <c r="B33" s="2">
        <v>1</v>
      </c>
      <c r="C33" s="2">
        <v>1</v>
      </c>
      <c r="D33" s="2"/>
      <c r="E33" s="2"/>
    </row>
    <row r="34" spans="1:5" ht="15.75" x14ac:dyDescent="0.25">
      <c r="A34" s="14" t="s">
        <v>661</v>
      </c>
      <c r="B34" s="2"/>
      <c r="C34" s="2">
        <v>1</v>
      </c>
      <c r="D34" s="2"/>
      <c r="E34" s="2"/>
    </row>
    <row r="35" spans="1:5" ht="15.75" x14ac:dyDescent="0.25">
      <c r="A35" s="16" t="s">
        <v>571</v>
      </c>
      <c r="B35" s="2">
        <v>1</v>
      </c>
      <c r="C35" s="2">
        <v>1</v>
      </c>
      <c r="D35" s="2"/>
      <c r="E35" s="2"/>
    </row>
    <row r="36" spans="1:5" ht="15.75" x14ac:dyDescent="0.25">
      <c r="A36" s="16" t="s">
        <v>715</v>
      </c>
      <c r="B36" s="2"/>
      <c r="C36" s="2"/>
      <c r="D36" s="2"/>
      <c r="E36" s="2"/>
    </row>
    <row r="37" spans="1:5" ht="15.75" x14ac:dyDescent="0.25">
      <c r="A37" s="16" t="s">
        <v>662</v>
      </c>
      <c r="B37" s="2"/>
      <c r="C37" s="2"/>
      <c r="D37" s="2"/>
      <c r="E37" s="2"/>
    </row>
    <row r="38" spans="1:5" ht="15.75" x14ac:dyDescent="0.25">
      <c r="A38" s="18" t="s">
        <v>627</v>
      </c>
      <c r="B38" s="2"/>
      <c r="C38" s="2"/>
      <c r="D38" s="2">
        <v>1</v>
      </c>
      <c r="E38" s="2"/>
    </row>
    <row r="39" spans="1:5" ht="15.75" x14ac:dyDescent="0.25">
      <c r="A39" s="22" t="s">
        <v>382</v>
      </c>
      <c r="B39" s="2"/>
      <c r="C39" s="2">
        <v>1</v>
      </c>
      <c r="D39" s="2">
        <v>1</v>
      </c>
      <c r="E39" s="2"/>
    </row>
    <row r="40" spans="1:5" ht="30.75" x14ac:dyDescent="0.25">
      <c r="A40" s="16" t="s">
        <v>663</v>
      </c>
      <c r="B40" s="2"/>
      <c r="C40" s="2">
        <v>1</v>
      </c>
      <c r="D40" s="2"/>
      <c r="E40" s="2"/>
    </row>
    <row r="41" spans="1:5" ht="15.75" x14ac:dyDescent="0.25">
      <c r="A41" s="16" t="s">
        <v>664</v>
      </c>
      <c r="B41" s="2"/>
      <c r="C41" s="2">
        <v>1</v>
      </c>
      <c r="D41" s="2"/>
      <c r="E41" s="2"/>
    </row>
    <row r="42" spans="1:5" ht="30.75" x14ac:dyDescent="0.25">
      <c r="A42" s="16" t="s">
        <v>578</v>
      </c>
      <c r="B42" s="2"/>
      <c r="C42" s="2">
        <v>1</v>
      </c>
      <c r="D42" s="2"/>
      <c r="E42" s="2"/>
    </row>
    <row r="43" spans="1:5" ht="15.75" x14ac:dyDescent="0.25">
      <c r="A43" s="21" t="s">
        <v>716</v>
      </c>
      <c r="B43" s="2">
        <v>1</v>
      </c>
      <c r="C43" s="2"/>
      <c r="D43" s="2"/>
      <c r="E43" s="2"/>
    </row>
    <row r="44" spans="1:5" ht="15.75" x14ac:dyDescent="0.25">
      <c r="A44" s="21" t="s">
        <v>255</v>
      </c>
      <c r="B44" s="2">
        <v>1</v>
      </c>
      <c r="C44" s="2">
        <v>1</v>
      </c>
      <c r="D44" s="2"/>
      <c r="E44" s="2"/>
    </row>
    <row r="45" spans="1:5" ht="30.75" x14ac:dyDescent="0.25">
      <c r="A45" s="14" t="s">
        <v>665</v>
      </c>
      <c r="B45" s="2"/>
      <c r="C45" s="2"/>
      <c r="D45" s="2"/>
      <c r="E45" s="2"/>
    </row>
    <row r="46" spans="1:5" ht="15.75" x14ac:dyDescent="0.25">
      <c r="A46" s="21" t="s">
        <v>580</v>
      </c>
      <c r="B46" s="2">
        <v>1</v>
      </c>
      <c r="C46" s="2">
        <v>1</v>
      </c>
      <c r="D46" s="2">
        <v>1</v>
      </c>
      <c r="E46" s="2"/>
    </row>
    <row r="47" spans="1:5" ht="15.75" x14ac:dyDescent="0.25">
      <c r="A47" s="14" t="s">
        <v>128</v>
      </c>
      <c r="B47" s="2">
        <v>1</v>
      </c>
      <c r="C47" s="2"/>
      <c r="D47" s="2">
        <v>1</v>
      </c>
      <c r="E47" s="2"/>
    </row>
    <row r="48" spans="1:5" ht="15.75" x14ac:dyDescent="0.25">
      <c r="A48" s="14" t="s">
        <v>717</v>
      </c>
      <c r="B48" s="2">
        <v>1</v>
      </c>
      <c r="C48" s="2"/>
      <c r="D48" s="2"/>
      <c r="E48" s="2"/>
    </row>
    <row r="49" spans="1:5" ht="15.75" x14ac:dyDescent="0.25">
      <c r="A49" s="17" t="s">
        <v>718</v>
      </c>
      <c r="B49" s="2">
        <v>1</v>
      </c>
      <c r="C49" s="2"/>
      <c r="D49" s="2"/>
      <c r="E49" s="2"/>
    </row>
    <row r="50" spans="1:5" ht="15.75" x14ac:dyDescent="0.25">
      <c r="A50" s="16" t="s">
        <v>666</v>
      </c>
      <c r="B50" s="2">
        <v>1</v>
      </c>
      <c r="C50" s="2">
        <v>1</v>
      </c>
      <c r="D50" s="2">
        <v>1</v>
      </c>
      <c r="E50" s="2"/>
    </row>
    <row r="51" spans="1:5" ht="15.75" x14ac:dyDescent="0.25">
      <c r="A51" s="14" t="s">
        <v>719</v>
      </c>
      <c r="B51" s="2"/>
      <c r="C51" s="2"/>
      <c r="D51" s="2">
        <v>1</v>
      </c>
      <c r="E51" s="2"/>
    </row>
    <row r="52" spans="1:5" ht="15.75" x14ac:dyDescent="0.25">
      <c r="A52" s="16" t="s">
        <v>667</v>
      </c>
      <c r="B52" s="2">
        <v>1</v>
      </c>
      <c r="C52">
        <v>1</v>
      </c>
      <c r="D52" s="2"/>
      <c r="E52" s="2"/>
    </row>
    <row r="53" spans="1:5" ht="30.75" x14ac:dyDescent="0.25">
      <c r="A53" s="21" t="s">
        <v>668</v>
      </c>
      <c r="B53" s="2">
        <v>1</v>
      </c>
      <c r="C53" s="2">
        <v>1</v>
      </c>
      <c r="D53" s="2"/>
      <c r="E53" s="2"/>
    </row>
    <row r="54" spans="1:5" ht="15.75" x14ac:dyDescent="0.25">
      <c r="A54" s="17" t="s">
        <v>669</v>
      </c>
      <c r="B54" s="2">
        <v>1</v>
      </c>
      <c r="C54" s="2">
        <v>1</v>
      </c>
      <c r="D54" s="2">
        <v>1</v>
      </c>
      <c r="E54" s="2">
        <v>1</v>
      </c>
    </row>
    <row r="55" spans="1:5" ht="15.75" x14ac:dyDescent="0.25">
      <c r="A55" s="16" t="s">
        <v>670</v>
      </c>
      <c r="B55" s="2">
        <v>1</v>
      </c>
      <c r="C55" s="2">
        <v>1</v>
      </c>
      <c r="D55" s="2"/>
      <c r="E55" s="2"/>
    </row>
    <row r="56" spans="1:5" ht="15.75" x14ac:dyDescent="0.25">
      <c r="A56" s="16" t="s">
        <v>720</v>
      </c>
      <c r="B56" s="2"/>
      <c r="C56" s="2"/>
      <c r="D56" s="2"/>
      <c r="E56" s="2"/>
    </row>
    <row r="57" spans="1:5" ht="15.75" x14ac:dyDescent="0.25">
      <c r="A57" s="16" t="s">
        <v>721</v>
      </c>
      <c r="B57" s="2"/>
      <c r="C57" s="2"/>
      <c r="D57" s="2">
        <v>1</v>
      </c>
      <c r="E57" s="2">
        <v>1</v>
      </c>
    </row>
    <row r="58" spans="1:5" ht="15.75" x14ac:dyDescent="0.25">
      <c r="A58" s="16" t="s">
        <v>671</v>
      </c>
      <c r="B58" s="2">
        <v>1</v>
      </c>
      <c r="C58" s="2">
        <v>1</v>
      </c>
      <c r="D58" s="2"/>
      <c r="E58" s="2"/>
    </row>
    <row r="59" spans="1:5" ht="15.75" x14ac:dyDescent="0.25">
      <c r="A59" s="16" t="s">
        <v>672</v>
      </c>
      <c r="B59" s="2">
        <v>1</v>
      </c>
      <c r="C59" s="2">
        <v>1</v>
      </c>
      <c r="D59" s="2"/>
      <c r="E59" s="2"/>
    </row>
    <row r="60" spans="1:5" ht="15.75" x14ac:dyDescent="0.25">
      <c r="A60" s="16" t="s">
        <v>673</v>
      </c>
      <c r="B60" s="2">
        <v>1</v>
      </c>
      <c r="C60" s="2">
        <v>1</v>
      </c>
      <c r="D60" s="2">
        <v>1</v>
      </c>
      <c r="E60" s="2"/>
    </row>
    <row r="61" spans="1:5" ht="15.75" x14ac:dyDescent="0.25">
      <c r="A61" s="16" t="s">
        <v>471</v>
      </c>
      <c r="B61" s="2"/>
      <c r="C61" s="2"/>
      <c r="D61" s="2"/>
      <c r="E61" s="2"/>
    </row>
    <row r="62" spans="1:5" ht="15.75" x14ac:dyDescent="0.25">
      <c r="A62" s="16" t="s">
        <v>674</v>
      </c>
      <c r="B62" s="2">
        <v>1</v>
      </c>
      <c r="C62" s="2">
        <v>1</v>
      </c>
      <c r="D62" s="2">
        <v>1</v>
      </c>
      <c r="E62" s="2"/>
    </row>
    <row r="63" spans="1:5" ht="15.75" x14ac:dyDescent="0.25">
      <c r="A63" s="14" t="s">
        <v>588</v>
      </c>
      <c r="B63" s="2"/>
      <c r="C63" s="2"/>
      <c r="D63" s="2">
        <v>1</v>
      </c>
      <c r="E63" s="2"/>
    </row>
    <row r="64" spans="1:5" ht="15.75" x14ac:dyDescent="0.25">
      <c r="A64" s="16" t="s">
        <v>722</v>
      </c>
      <c r="B64" s="2">
        <v>1</v>
      </c>
      <c r="C64" s="2"/>
      <c r="D64" s="2"/>
      <c r="E64" s="2"/>
    </row>
    <row r="65" spans="1:5" ht="30.75" x14ac:dyDescent="0.25">
      <c r="A65" s="22" t="s">
        <v>675</v>
      </c>
      <c r="B65" s="2"/>
      <c r="C65" s="2"/>
      <c r="D65" s="2"/>
      <c r="E65" s="2"/>
    </row>
    <row r="66" spans="1:5" ht="30.75" x14ac:dyDescent="0.25">
      <c r="A66" s="22" t="s">
        <v>676</v>
      </c>
      <c r="B66" s="2">
        <v>1</v>
      </c>
      <c r="C66" s="2">
        <v>1</v>
      </c>
      <c r="D66" s="2"/>
      <c r="E66" s="2"/>
    </row>
    <row r="67" spans="1:5" ht="15.75" x14ac:dyDescent="0.25">
      <c r="A67" s="14" t="s">
        <v>723</v>
      </c>
      <c r="B67" s="2">
        <v>1</v>
      </c>
      <c r="C67" s="2"/>
      <c r="D67" s="2"/>
      <c r="E67" s="2"/>
    </row>
    <row r="68" spans="1:5" ht="15.75" x14ac:dyDescent="0.25">
      <c r="A68" s="14" t="s">
        <v>677</v>
      </c>
      <c r="B68" s="2">
        <v>1</v>
      </c>
      <c r="C68" s="2">
        <v>1</v>
      </c>
      <c r="D68" s="2">
        <v>1</v>
      </c>
      <c r="E68" s="2"/>
    </row>
    <row r="69" spans="1:5" ht="15.75" x14ac:dyDescent="0.25">
      <c r="A69" s="16" t="s">
        <v>678</v>
      </c>
      <c r="B69" s="2">
        <v>1</v>
      </c>
      <c r="C69">
        <v>1</v>
      </c>
      <c r="D69" s="2">
        <v>1</v>
      </c>
      <c r="E69" s="2"/>
    </row>
    <row r="70" spans="1:5" ht="30.75" x14ac:dyDescent="0.25">
      <c r="A70" s="14" t="s">
        <v>679</v>
      </c>
      <c r="B70" s="2"/>
      <c r="C70" s="2">
        <v>1</v>
      </c>
      <c r="D70" s="2"/>
      <c r="E70" s="2"/>
    </row>
    <row r="71" spans="1:5" ht="30.75" x14ac:dyDescent="0.25">
      <c r="A71" s="16" t="s">
        <v>680</v>
      </c>
      <c r="B71" s="2">
        <v>1</v>
      </c>
      <c r="C71" s="2">
        <v>1</v>
      </c>
      <c r="D71" s="2"/>
      <c r="E71" s="2"/>
    </row>
    <row r="72" spans="1:5" ht="30.75" x14ac:dyDescent="0.25">
      <c r="A72" s="16" t="s">
        <v>681</v>
      </c>
      <c r="B72" s="2"/>
      <c r="C72" s="2">
        <v>1</v>
      </c>
      <c r="D72" s="2"/>
      <c r="E72" s="2"/>
    </row>
    <row r="73" spans="1:5" ht="15.75" x14ac:dyDescent="0.25">
      <c r="A73" s="14" t="s">
        <v>682</v>
      </c>
      <c r="B73" s="2"/>
      <c r="C73" s="2">
        <v>1</v>
      </c>
      <c r="D73" s="2"/>
      <c r="E73" s="2"/>
    </row>
    <row r="74" spans="1:5" ht="15.75" x14ac:dyDescent="0.25">
      <c r="A74" s="14" t="s">
        <v>683</v>
      </c>
      <c r="B74" s="2"/>
      <c r="C74" s="2"/>
      <c r="D74" s="2"/>
      <c r="E74" s="2"/>
    </row>
    <row r="75" spans="1:5" ht="30.75" x14ac:dyDescent="0.25">
      <c r="A75" s="21" t="s">
        <v>684</v>
      </c>
      <c r="B75" s="2">
        <v>1</v>
      </c>
      <c r="C75" s="2">
        <v>1</v>
      </c>
      <c r="D75" s="2"/>
      <c r="E75" s="2"/>
    </row>
    <row r="76" spans="1:5" ht="15.75" x14ac:dyDescent="0.25">
      <c r="A76" s="16" t="s">
        <v>685</v>
      </c>
      <c r="B76" s="2">
        <v>1</v>
      </c>
      <c r="C76" s="2">
        <v>1</v>
      </c>
      <c r="D76" s="2"/>
      <c r="E76" s="2"/>
    </row>
    <row r="77" spans="1:5" ht="15.75" x14ac:dyDescent="0.25">
      <c r="A77" s="14" t="s">
        <v>686</v>
      </c>
      <c r="B77" s="2"/>
      <c r="C77" s="2"/>
      <c r="D77" s="2"/>
      <c r="E77" s="2"/>
    </row>
    <row r="78" spans="1:5" ht="15.75" x14ac:dyDescent="0.25">
      <c r="A78" s="14" t="s">
        <v>280</v>
      </c>
      <c r="B78" s="2">
        <v>1</v>
      </c>
      <c r="C78" s="2">
        <v>1</v>
      </c>
      <c r="D78" s="2"/>
      <c r="E78" s="2"/>
    </row>
    <row r="79" spans="1:5" ht="15.75" x14ac:dyDescent="0.25">
      <c r="A79" s="14" t="s">
        <v>724</v>
      </c>
      <c r="B79" s="2"/>
      <c r="C79" s="2"/>
      <c r="D79" s="2"/>
      <c r="E79" s="2"/>
    </row>
    <row r="80" spans="1:5" ht="15.75" x14ac:dyDescent="0.25">
      <c r="A80" s="16" t="s">
        <v>406</v>
      </c>
      <c r="B80" s="2"/>
      <c r="C80" s="2"/>
      <c r="D80" s="2"/>
      <c r="E80" s="2"/>
    </row>
    <row r="81" spans="1:5" ht="15.75" x14ac:dyDescent="0.25">
      <c r="A81" s="16" t="s">
        <v>687</v>
      </c>
      <c r="B81" s="2">
        <v>1</v>
      </c>
      <c r="C81" s="2">
        <v>1</v>
      </c>
      <c r="D81" s="2"/>
      <c r="E81" s="2"/>
    </row>
    <row r="82" spans="1:5" ht="30.75" x14ac:dyDescent="0.25">
      <c r="A82" s="22" t="s">
        <v>146</v>
      </c>
      <c r="B82" s="2"/>
      <c r="C82" s="2">
        <v>1</v>
      </c>
      <c r="D82" s="2"/>
      <c r="E82" s="2"/>
    </row>
    <row r="83" spans="1:5" ht="30.75" x14ac:dyDescent="0.25">
      <c r="A83" s="16" t="s">
        <v>438</v>
      </c>
      <c r="B83" s="2">
        <v>1</v>
      </c>
      <c r="C83" s="2"/>
      <c r="D83" s="2">
        <v>1</v>
      </c>
      <c r="E83" s="2"/>
    </row>
    <row r="84" spans="1:5" ht="15.75" x14ac:dyDescent="0.25">
      <c r="A84" s="16" t="s">
        <v>688</v>
      </c>
      <c r="B84" s="2">
        <v>1</v>
      </c>
      <c r="C84" s="2">
        <v>1</v>
      </c>
      <c r="D84" s="2"/>
      <c r="E84" s="2"/>
    </row>
    <row r="85" spans="1:5" ht="15.75" x14ac:dyDescent="0.25">
      <c r="A85" s="14" t="s">
        <v>689</v>
      </c>
      <c r="B85" s="2"/>
      <c r="C85" s="2"/>
      <c r="D85" s="2"/>
      <c r="E85" s="2"/>
    </row>
    <row r="86" spans="1:5" ht="15.75" x14ac:dyDescent="0.25">
      <c r="A86" s="21" t="s">
        <v>690</v>
      </c>
      <c r="B86" s="2">
        <v>1</v>
      </c>
      <c r="C86" s="2">
        <v>1</v>
      </c>
      <c r="D86" s="2"/>
      <c r="E86" s="2"/>
    </row>
    <row r="87" spans="1:5" ht="30.75" x14ac:dyDescent="0.25">
      <c r="A87" s="16" t="s">
        <v>691</v>
      </c>
      <c r="B87" s="2"/>
      <c r="C87" s="2"/>
      <c r="D87" s="2"/>
      <c r="E87" s="2"/>
    </row>
    <row r="88" spans="1:5" ht="30.75" x14ac:dyDescent="0.25">
      <c r="A88" s="14" t="s">
        <v>692</v>
      </c>
      <c r="B88" s="2"/>
      <c r="C88" s="2">
        <v>1</v>
      </c>
      <c r="D88" s="2"/>
      <c r="E88" s="2"/>
    </row>
    <row r="89" spans="1:5" ht="15.75" x14ac:dyDescent="0.25">
      <c r="A89" s="14" t="s">
        <v>693</v>
      </c>
      <c r="B89" s="2">
        <v>1</v>
      </c>
      <c r="C89" s="2"/>
      <c r="D89" s="2"/>
      <c r="E89" s="2"/>
    </row>
    <row r="90" spans="1:5" ht="15.75" x14ac:dyDescent="0.25">
      <c r="A90" s="16" t="s">
        <v>725</v>
      </c>
      <c r="B90" s="2">
        <v>1</v>
      </c>
      <c r="D90" s="2"/>
      <c r="E90" s="2"/>
    </row>
    <row r="91" spans="1:5" ht="15.75" x14ac:dyDescent="0.25">
      <c r="A91" s="16" t="s">
        <v>694</v>
      </c>
      <c r="B91" s="2">
        <v>1</v>
      </c>
      <c r="C91" s="2">
        <v>1</v>
      </c>
      <c r="D91" s="2">
        <v>1</v>
      </c>
      <c r="E91" s="2"/>
    </row>
    <row r="92" spans="1:5" ht="15.75" x14ac:dyDescent="0.25">
      <c r="A92" s="16" t="s">
        <v>695</v>
      </c>
      <c r="B92" s="2"/>
      <c r="C92" s="2"/>
      <c r="D92" s="2"/>
      <c r="E92" s="2"/>
    </row>
    <row r="93" spans="1:5" ht="15.75" x14ac:dyDescent="0.25">
      <c r="A93" s="14" t="s">
        <v>696</v>
      </c>
      <c r="B93" s="2">
        <v>1</v>
      </c>
      <c r="C93" s="2">
        <v>1</v>
      </c>
      <c r="D93" s="2"/>
      <c r="E93" s="2"/>
    </row>
    <row r="94" spans="1:5" ht="30.75" x14ac:dyDescent="0.25">
      <c r="A94" s="16" t="s">
        <v>697</v>
      </c>
      <c r="B94" s="2"/>
      <c r="C94" s="2">
        <v>1</v>
      </c>
      <c r="D94" s="2">
        <v>1</v>
      </c>
      <c r="E94" s="2"/>
    </row>
    <row r="95" spans="1:5" ht="15.75" x14ac:dyDescent="0.25">
      <c r="A95" s="16" t="s">
        <v>698</v>
      </c>
      <c r="B95" s="2"/>
      <c r="C95" s="2">
        <v>1</v>
      </c>
      <c r="D95" s="2"/>
      <c r="E95" s="2"/>
    </row>
    <row r="96" spans="1:5" ht="15.75" x14ac:dyDescent="0.25">
      <c r="A96" s="38" t="s">
        <v>699</v>
      </c>
      <c r="B96" s="2">
        <v>1</v>
      </c>
      <c r="C96" s="2">
        <v>1</v>
      </c>
      <c r="D96" s="2"/>
      <c r="E96" s="2"/>
    </row>
    <row r="97" spans="1:5" ht="15.75" x14ac:dyDescent="0.25">
      <c r="A97" s="17" t="s">
        <v>154</v>
      </c>
      <c r="B97" s="2"/>
      <c r="C97" s="2">
        <v>1</v>
      </c>
      <c r="D97" s="2"/>
      <c r="E97" s="2"/>
    </row>
    <row r="98" spans="1:5" ht="15.75" x14ac:dyDescent="0.25">
      <c r="A98" s="16" t="s">
        <v>700</v>
      </c>
      <c r="B98" s="2">
        <v>1</v>
      </c>
      <c r="C98" s="2">
        <v>1</v>
      </c>
      <c r="D98" s="2"/>
      <c r="E98" s="2"/>
    </row>
    <row r="99" spans="1:5" ht="30.75" x14ac:dyDescent="0.25">
      <c r="A99" s="16" t="s">
        <v>726</v>
      </c>
      <c r="B99" s="2">
        <v>1</v>
      </c>
      <c r="C99" s="2"/>
      <c r="D99" s="2"/>
      <c r="E99" s="2"/>
    </row>
    <row r="100" spans="1:5" ht="15.75" x14ac:dyDescent="0.25">
      <c r="A100" s="14" t="s">
        <v>727</v>
      </c>
      <c r="B100" s="2"/>
      <c r="C100" s="2"/>
      <c r="D100" s="2"/>
      <c r="E100" s="2"/>
    </row>
    <row r="101" spans="1:5" ht="15.75" x14ac:dyDescent="0.25">
      <c r="A101" s="16" t="s">
        <v>701</v>
      </c>
      <c r="B101" s="2">
        <v>1</v>
      </c>
      <c r="C101" s="2">
        <v>1</v>
      </c>
      <c r="D101" s="2"/>
      <c r="E101" s="2"/>
    </row>
    <row r="102" spans="1:5" ht="30.75" x14ac:dyDescent="0.25">
      <c r="A102" s="17" t="s">
        <v>702</v>
      </c>
      <c r="B102" s="2">
        <v>1</v>
      </c>
      <c r="C102" s="2">
        <v>1</v>
      </c>
      <c r="D102" s="2"/>
      <c r="E102" s="2"/>
    </row>
    <row r="103" spans="1:5" ht="15.75" x14ac:dyDescent="0.25">
      <c r="A103" s="14" t="s">
        <v>703</v>
      </c>
      <c r="B103" s="2">
        <v>1</v>
      </c>
      <c r="C103" s="2">
        <v>1</v>
      </c>
      <c r="D103" s="2">
        <v>1</v>
      </c>
      <c r="E103" s="2"/>
    </row>
    <row r="104" spans="1:5" ht="15.75" x14ac:dyDescent="0.25">
      <c r="A104" s="16" t="s">
        <v>728</v>
      </c>
      <c r="B104" s="2">
        <v>1</v>
      </c>
      <c r="C104" s="2"/>
      <c r="D104" s="2"/>
      <c r="E104" s="2"/>
    </row>
    <row r="105" spans="1:5" ht="15.75" x14ac:dyDescent="0.25">
      <c r="A105" s="22" t="s">
        <v>445</v>
      </c>
      <c r="B105" s="2"/>
      <c r="C105" s="2">
        <v>1</v>
      </c>
      <c r="D105" s="2"/>
      <c r="E105" s="2"/>
    </row>
    <row r="106" spans="1:5" ht="15.75" x14ac:dyDescent="0.25">
      <c r="A106" s="16" t="s">
        <v>729</v>
      </c>
      <c r="B106" s="2">
        <v>1</v>
      </c>
      <c r="C106" s="2"/>
      <c r="D106" s="2"/>
      <c r="E106" s="2"/>
    </row>
    <row r="107" spans="1:5" ht="15.75" x14ac:dyDescent="0.25">
      <c r="A107" s="16" t="s">
        <v>704</v>
      </c>
      <c r="B107" s="2">
        <v>1</v>
      </c>
      <c r="C107" s="2">
        <v>1</v>
      </c>
      <c r="D107" s="2">
        <v>1</v>
      </c>
      <c r="E107" s="2"/>
    </row>
    <row r="108" spans="1:5" ht="30.75" x14ac:dyDescent="0.25">
      <c r="A108" s="14" t="s">
        <v>94</v>
      </c>
      <c r="B108" s="2"/>
      <c r="C108" s="2"/>
      <c r="D108" s="2"/>
      <c r="E108" s="2"/>
    </row>
    <row r="109" spans="1:5" ht="15.75" x14ac:dyDescent="0.25">
      <c r="A109" s="21" t="s">
        <v>705</v>
      </c>
      <c r="B109" s="2"/>
      <c r="C109" s="2">
        <v>1</v>
      </c>
      <c r="D109" s="2">
        <v>1</v>
      </c>
      <c r="E109" s="2"/>
    </row>
    <row r="110" spans="1:5" ht="15.75" x14ac:dyDescent="0.25">
      <c r="A110" s="14" t="s">
        <v>706</v>
      </c>
      <c r="B110" s="2">
        <v>1</v>
      </c>
      <c r="C110" s="2">
        <v>1</v>
      </c>
      <c r="D110" s="2"/>
      <c r="E110" s="2"/>
    </row>
    <row r="111" spans="1:5" ht="15.75" x14ac:dyDescent="0.25">
      <c r="A111" s="16" t="s">
        <v>707</v>
      </c>
      <c r="B111" s="2"/>
      <c r="C111" s="2"/>
      <c r="D111" s="2"/>
      <c r="E111" s="2"/>
    </row>
    <row r="112" spans="1:5" ht="15.75" x14ac:dyDescent="0.25">
      <c r="A112" s="16" t="s">
        <v>708</v>
      </c>
      <c r="B112" s="2">
        <v>1</v>
      </c>
      <c r="C112" s="2">
        <v>1</v>
      </c>
      <c r="D112" s="2"/>
      <c r="E112" s="2"/>
    </row>
    <row r="113" spans="1:5" ht="15.75" x14ac:dyDescent="0.25">
      <c r="A113" s="16" t="s">
        <v>709</v>
      </c>
      <c r="B113" s="2">
        <v>1</v>
      </c>
      <c r="C113" s="2">
        <v>1</v>
      </c>
      <c r="D113" s="2"/>
      <c r="E113" s="2"/>
    </row>
    <row r="114" spans="1:5" ht="15.75" x14ac:dyDescent="0.25">
      <c r="A114" s="16" t="s">
        <v>486</v>
      </c>
      <c r="B114" s="2">
        <v>1</v>
      </c>
      <c r="C114" s="2"/>
      <c r="D114" s="2"/>
      <c r="E114" s="2"/>
    </row>
  </sheetData>
  <autoFilter ref="A1:E176" xr:uid="{5CCC2812-9932-4283-9F22-A22FF3E2F78A}">
    <sortState xmlns:xlrd2="http://schemas.microsoft.com/office/spreadsheetml/2017/richdata2" ref="A2:E176">
      <sortCondition ref="A1:A176"/>
    </sortState>
  </autoFilter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6E9D-912C-42F3-8E01-815DF9A8AE82}">
  <dimension ref="A1:E920"/>
  <sheetViews>
    <sheetView tabSelected="1" workbookViewId="0">
      <selection activeCell="D10" sqref="D10"/>
    </sheetView>
  </sheetViews>
  <sheetFormatPr defaultRowHeight="15" x14ac:dyDescent="0.25"/>
  <cols>
    <col min="1" max="1" width="25" customWidth="1"/>
    <col min="2" max="2" width="14.140625" style="2" customWidth="1"/>
    <col min="4" max="5" width="24.28515625" bestFit="1" customWidth="1"/>
  </cols>
  <sheetData>
    <row r="1" spans="1:5" x14ac:dyDescent="0.25">
      <c r="A1" s="93" t="s">
        <v>766</v>
      </c>
      <c r="B1" s="94" t="s">
        <v>765</v>
      </c>
      <c r="D1" s="42" t="s">
        <v>731</v>
      </c>
      <c r="E1" t="s">
        <v>767</v>
      </c>
    </row>
    <row r="2" spans="1:5" x14ac:dyDescent="0.25">
      <c r="A2" s="52" t="s">
        <v>159</v>
      </c>
      <c r="B2" s="2">
        <f>COUNTIF($A:$A,A2)</f>
        <v>1</v>
      </c>
      <c r="D2" s="43" t="s">
        <v>54</v>
      </c>
      <c r="E2" s="40">
        <v>5</v>
      </c>
    </row>
    <row r="3" spans="1:5" x14ac:dyDescent="0.25">
      <c r="A3" s="53" t="s">
        <v>178</v>
      </c>
      <c r="B3" s="2">
        <f t="shared" ref="B3:B66" si="0">COUNTIF($A:$A,A3)</f>
        <v>1</v>
      </c>
      <c r="D3" s="43" t="s">
        <v>100</v>
      </c>
      <c r="E3" s="40">
        <v>3</v>
      </c>
    </row>
    <row r="4" spans="1:5" x14ac:dyDescent="0.25">
      <c r="A4" s="53" t="s">
        <v>99</v>
      </c>
      <c r="B4" s="2">
        <f t="shared" si="0"/>
        <v>1</v>
      </c>
      <c r="D4" s="43" t="s">
        <v>426</v>
      </c>
      <c r="E4" s="40">
        <v>3</v>
      </c>
    </row>
    <row r="5" spans="1:5" x14ac:dyDescent="0.25">
      <c r="A5" s="52" t="s">
        <v>100</v>
      </c>
      <c r="B5" s="2">
        <f t="shared" si="0"/>
        <v>3</v>
      </c>
      <c r="D5" s="43" t="s">
        <v>102</v>
      </c>
      <c r="E5" s="40">
        <v>3</v>
      </c>
    </row>
    <row r="6" spans="1:5" x14ac:dyDescent="0.25">
      <c r="A6" s="52" t="s">
        <v>101</v>
      </c>
      <c r="B6" s="2">
        <f t="shared" si="0"/>
        <v>1</v>
      </c>
      <c r="D6" s="43" t="s">
        <v>181</v>
      </c>
      <c r="E6" s="40">
        <v>5</v>
      </c>
    </row>
    <row r="7" spans="1:5" x14ac:dyDescent="0.25">
      <c r="A7" s="53" t="s">
        <v>102</v>
      </c>
      <c r="B7" s="2">
        <f t="shared" si="0"/>
        <v>3</v>
      </c>
      <c r="D7" s="43" t="s">
        <v>498</v>
      </c>
      <c r="E7" s="40">
        <v>3</v>
      </c>
    </row>
    <row r="8" spans="1:5" x14ac:dyDescent="0.25">
      <c r="A8" s="52" t="s">
        <v>103</v>
      </c>
      <c r="B8" s="2">
        <f t="shared" si="0"/>
        <v>2</v>
      </c>
      <c r="D8" s="43" t="s">
        <v>185</v>
      </c>
      <c r="E8" s="40">
        <v>4</v>
      </c>
    </row>
    <row r="9" spans="1:5" x14ac:dyDescent="0.25">
      <c r="A9" s="52" t="s">
        <v>104</v>
      </c>
      <c r="B9" s="2">
        <f t="shared" si="0"/>
        <v>1</v>
      </c>
      <c r="D9" s="43" t="s">
        <v>382</v>
      </c>
      <c r="E9" s="40">
        <v>3</v>
      </c>
    </row>
    <row r="10" spans="1:5" x14ac:dyDescent="0.25">
      <c r="A10" s="52" t="s">
        <v>179</v>
      </c>
      <c r="B10" s="2">
        <f t="shared" si="0"/>
        <v>2</v>
      </c>
      <c r="D10" s="43" t="s">
        <v>128</v>
      </c>
      <c r="E10" s="40">
        <v>4</v>
      </c>
    </row>
    <row r="11" spans="1:5" x14ac:dyDescent="0.25">
      <c r="A11" s="54" t="s">
        <v>105</v>
      </c>
      <c r="B11" s="2">
        <f t="shared" si="0"/>
        <v>1</v>
      </c>
      <c r="D11" s="43" t="s">
        <v>194</v>
      </c>
      <c r="E11" s="40">
        <v>3</v>
      </c>
    </row>
    <row r="12" spans="1:5" x14ac:dyDescent="0.25">
      <c r="A12" s="52" t="s">
        <v>180</v>
      </c>
      <c r="B12" s="2">
        <f t="shared" si="0"/>
        <v>1</v>
      </c>
      <c r="D12" s="43" t="s">
        <v>33</v>
      </c>
      <c r="E12" s="40">
        <v>3</v>
      </c>
    </row>
    <row r="13" spans="1:5" x14ac:dyDescent="0.25">
      <c r="A13" s="52" t="s">
        <v>106</v>
      </c>
      <c r="B13" s="2">
        <f t="shared" si="0"/>
        <v>2</v>
      </c>
      <c r="D13" s="43" t="s">
        <v>471</v>
      </c>
      <c r="E13" s="40">
        <v>3</v>
      </c>
    </row>
    <row r="14" spans="1:5" x14ac:dyDescent="0.25">
      <c r="A14" s="52" t="s">
        <v>51</v>
      </c>
      <c r="B14" s="2">
        <f t="shared" si="0"/>
        <v>2</v>
      </c>
      <c r="D14" s="43" t="s">
        <v>336</v>
      </c>
      <c r="E14" s="40">
        <v>3</v>
      </c>
    </row>
    <row r="15" spans="1:5" x14ac:dyDescent="0.25">
      <c r="A15" s="55" t="s">
        <v>107</v>
      </c>
      <c r="B15" s="2">
        <f t="shared" si="0"/>
        <v>2</v>
      </c>
      <c r="D15" s="43" t="s">
        <v>133</v>
      </c>
      <c r="E15" s="40">
        <v>4</v>
      </c>
    </row>
    <row r="16" spans="1:5" x14ac:dyDescent="0.25">
      <c r="A16" s="54" t="s">
        <v>181</v>
      </c>
      <c r="B16" s="2">
        <f t="shared" si="0"/>
        <v>5</v>
      </c>
      <c r="D16" s="43" t="s">
        <v>274</v>
      </c>
      <c r="E16" s="40">
        <v>3</v>
      </c>
    </row>
    <row r="17" spans="1:5" x14ac:dyDescent="0.25">
      <c r="A17" s="52" t="s">
        <v>182</v>
      </c>
      <c r="B17" s="2">
        <f t="shared" si="0"/>
        <v>1</v>
      </c>
      <c r="D17" s="43" t="s">
        <v>279</v>
      </c>
      <c r="E17" s="40">
        <v>3</v>
      </c>
    </row>
    <row r="18" spans="1:5" x14ac:dyDescent="0.25">
      <c r="A18" s="52" t="s">
        <v>183</v>
      </c>
      <c r="B18" s="2">
        <f t="shared" si="0"/>
        <v>1</v>
      </c>
      <c r="D18" s="43" t="s">
        <v>284</v>
      </c>
      <c r="E18" s="40">
        <v>3</v>
      </c>
    </row>
    <row r="19" spans="1:5" ht="26.25" x14ac:dyDescent="0.25">
      <c r="A19" s="54" t="s">
        <v>108</v>
      </c>
      <c r="B19" s="2">
        <f t="shared" si="0"/>
        <v>1</v>
      </c>
      <c r="D19" s="43" t="s">
        <v>146</v>
      </c>
      <c r="E19" s="40">
        <v>3</v>
      </c>
    </row>
    <row r="20" spans="1:5" ht="26.25" x14ac:dyDescent="0.25">
      <c r="A20" s="52" t="s">
        <v>184</v>
      </c>
      <c r="B20" s="2">
        <f t="shared" si="0"/>
        <v>1</v>
      </c>
      <c r="D20" s="43" t="s">
        <v>89</v>
      </c>
      <c r="E20" s="40">
        <v>3</v>
      </c>
    </row>
    <row r="21" spans="1:5" x14ac:dyDescent="0.25">
      <c r="A21" s="53" t="s">
        <v>185</v>
      </c>
      <c r="B21" s="2">
        <f t="shared" si="0"/>
        <v>4</v>
      </c>
      <c r="D21" s="43" t="s">
        <v>90</v>
      </c>
      <c r="E21" s="40">
        <v>3</v>
      </c>
    </row>
    <row r="22" spans="1:5" x14ac:dyDescent="0.25">
      <c r="A22" s="52" t="s">
        <v>109</v>
      </c>
      <c r="B22" s="2">
        <f t="shared" si="0"/>
        <v>1</v>
      </c>
      <c r="D22" s="43" t="s">
        <v>94</v>
      </c>
      <c r="E22" s="40">
        <v>7</v>
      </c>
    </row>
    <row r="23" spans="1:5" x14ac:dyDescent="0.25">
      <c r="A23" s="56" t="s">
        <v>186</v>
      </c>
      <c r="B23" s="2">
        <f t="shared" si="0"/>
        <v>1</v>
      </c>
      <c r="D23" s="43" t="s">
        <v>46</v>
      </c>
      <c r="E23" s="40">
        <v>3</v>
      </c>
    </row>
    <row r="24" spans="1:5" x14ac:dyDescent="0.25">
      <c r="A24" s="52" t="s">
        <v>187</v>
      </c>
      <c r="B24" s="2">
        <f t="shared" si="0"/>
        <v>1</v>
      </c>
      <c r="D24" s="43" t="s">
        <v>305</v>
      </c>
      <c r="E24" s="40">
        <v>3</v>
      </c>
    </row>
    <row r="25" spans="1:5" x14ac:dyDescent="0.25">
      <c r="A25" s="53" t="s">
        <v>110</v>
      </c>
      <c r="B25" s="2">
        <f t="shared" si="0"/>
        <v>2</v>
      </c>
      <c r="D25" s="43" t="s">
        <v>732</v>
      </c>
      <c r="E25" s="40">
        <v>80</v>
      </c>
    </row>
    <row r="26" spans="1:5" x14ac:dyDescent="0.25">
      <c r="A26" s="52" t="s">
        <v>543</v>
      </c>
      <c r="B26" s="2">
        <f t="shared" si="0"/>
        <v>1</v>
      </c>
    </row>
    <row r="27" spans="1:5" x14ac:dyDescent="0.25">
      <c r="A27" s="52" t="s">
        <v>111</v>
      </c>
      <c r="B27" s="2">
        <f t="shared" si="0"/>
        <v>1</v>
      </c>
    </row>
    <row r="28" spans="1:5" x14ac:dyDescent="0.25">
      <c r="A28" s="53" t="s">
        <v>112</v>
      </c>
      <c r="B28" s="2">
        <f t="shared" si="0"/>
        <v>1</v>
      </c>
    </row>
    <row r="29" spans="1:5" x14ac:dyDescent="0.25">
      <c r="A29" s="56" t="s">
        <v>22</v>
      </c>
      <c r="B29" s="2">
        <f t="shared" si="0"/>
        <v>2</v>
      </c>
    </row>
    <row r="30" spans="1:5" x14ac:dyDescent="0.25">
      <c r="A30" s="52" t="s">
        <v>188</v>
      </c>
      <c r="B30" s="2">
        <f t="shared" si="0"/>
        <v>1</v>
      </c>
    </row>
    <row r="31" spans="1:5" x14ac:dyDescent="0.25">
      <c r="A31" s="53" t="s">
        <v>189</v>
      </c>
      <c r="B31" s="2">
        <f t="shared" si="0"/>
        <v>1</v>
      </c>
    </row>
    <row r="32" spans="1:5" x14ac:dyDescent="0.25">
      <c r="A32" s="52" t="s">
        <v>113</v>
      </c>
      <c r="B32" s="2">
        <f t="shared" si="0"/>
        <v>2</v>
      </c>
    </row>
    <row r="33" spans="1:2" x14ac:dyDescent="0.25">
      <c r="A33" s="52" t="s">
        <v>114</v>
      </c>
      <c r="B33" s="2">
        <f t="shared" si="0"/>
        <v>2</v>
      </c>
    </row>
    <row r="34" spans="1:2" x14ac:dyDescent="0.25">
      <c r="A34" s="53" t="s">
        <v>24</v>
      </c>
      <c r="B34" s="2">
        <f t="shared" si="0"/>
        <v>2</v>
      </c>
    </row>
    <row r="35" spans="1:2" x14ac:dyDescent="0.25">
      <c r="A35" s="52" t="s">
        <v>190</v>
      </c>
      <c r="B35" s="2">
        <f t="shared" si="0"/>
        <v>1</v>
      </c>
    </row>
    <row r="36" spans="1:2" x14ac:dyDescent="0.25">
      <c r="A36" s="53" t="s">
        <v>115</v>
      </c>
      <c r="B36" s="2">
        <f t="shared" si="0"/>
        <v>2</v>
      </c>
    </row>
    <row r="37" spans="1:2" ht="26.25" x14ac:dyDescent="0.25">
      <c r="A37" s="53" t="s">
        <v>191</v>
      </c>
      <c r="B37" s="2">
        <f t="shared" si="0"/>
        <v>2</v>
      </c>
    </row>
    <row r="38" spans="1:2" x14ac:dyDescent="0.25">
      <c r="A38" s="52" t="s">
        <v>116</v>
      </c>
      <c r="B38" s="2">
        <f t="shared" si="0"/>
        <v>1</v>
      </c>
    </row>
    <row r="39" spans="1:2" x14ac:dyDescent="0.25">
      <c r="A39" s="53" t="s">
        <v>117</v>
      </c>
      <c r="B39" s="2">
        <f t="shared" si="0"/>
        <v>2</v>
      </c>
    </row>
    <row r="40" spans="1:2" x14ac:dyDescent="0.25">
      <c r="A40" s="52" t="s">
        <v>544</v>
      </c>
      <c r="B40" s="2">
        <f t="shared" si="0"/>
        <v>1</v>
      </c>
    </row>
    <row r="41" spans="1:2" ht="26.25" x14ac:dyDescent="0.25">
      <c r="A41" s="52" t="s">
        <v>119</v>
      </c>
      <c r="B41" s="2">
        <f t="shared" si="0"/>
        <v>1</v>
      </c>
    </row>
    <row r="42" spans="1:2" x14ac:dyDescent="0.25">
      <c r="A42" s="52" t="s">
        <v>120</v>
      </c>
      <c r="B42" s="2">
        <f t="shared" si="0"/>
        <v>1</v>
      </c>
    </row>
    <row r="43" spans="1:2" x14ac:dyDescent="0.25">
      <c r="A43" s="52" t="s">
        <v>121</v>
      </c>
      <c r="B43" s="2">
        <f t="shared" si="0"/>
        <v>1</v>
      </c>
    </row>
    <row r="44" spans="1:2" x14ac:dyDescent="0.25">
      <c r="A44" s="52" t="s">
        <v>192</v>
      </c>
      <c r="B44" s="2">
        <f t="shared" si="0"/>
        <v>1</v>
      </c>
    </row>
    <row r="45" spans="1:2" x14ac:dyDescent="0.25">
      <c r="A45" s="52" t="s">
        <v>193</v>
      </c>
      <c r="B45" s="2">
        <f t="shared" si="0"/>
        <v>1</v>
      </c>
    </row>
    <row r="46" spans="1:2" x14ac:dyDescent="0.25">
      <c r="A46" s="52" t="s">
        <v>122</v>
      </c>
      <c r="B46" s="2">
        <f t="shared" si="0"/>
        <v>1</v>
      </c>
    </row>
    <row r="47" spans="1:2" x14ac:dyDescent="0.25">
      <c r="A47" s="52" t="s">
        <v>123</v>
      </c>
      <c r="B47" s="2">
        <f t="shared" si="0"/>
        <v>1</v>
      </c>
    </row>
    <row r="48" spans="1:2" x14ac:dyDescent="0.25">
      <c r="A48" s="53" t="s">
        <v>124</v>
      </c>
      <c r="B48" s="2">
        <f t="shared" si="0"/>
        <v>1</v>
      </c>
    </row>
    <row r="49" spans="1:2" x14ac:dyDescent="0.25">
      <c r="A49" s="52" t="s">
        <v>125</v>
      </c>
      <c r="B49" s="2">
        <f t="shared" si="0"/>
        <v>1</v>
      </c>
    </row>
    <row r="50" spans="1:2" x14ac:dyDescent="0.25">
      <c r="A50" s="52" t="s">
        <v>126</v>
      </c>
      <c r="B50" s="2">
        <f t="shared" si="0"/>
        <v>1</v>
      </c>
    </row>
    <row r="51" spans="1:2" x14ac:dyDescent="0.25">
      <c r="A51" s="55" t="s">
        <v>127</v>
      </c>
      <c r="B51" s="2">
        <f t="shared" si="0"/>
        <v>1</v>
      </c>
    </row>
    <row r="52" spans="1:2" x14ac:dyDescent="0.25">
      <c r="A52" s="53" t="s">
        <v>128</v>
      </c>
      <c r="B52" s="2">
        <f t="shared" si="0"/>
        <v>4</v>
      </c>
    </row>
    <row r="53" spans="1:2" x14ac:dyDescent="0.25">
      <c r="A53" s="52" t="s">
        <v>129</v>
      </c>
      <c r="B53" s="2">
        <f t="shared" si="0"/>
        <v>1</v>
      </c>
    </row>
    <row r="54" spans="1:2" x14ac:dyDescent="0.25">
      <c r="A54" s="52" t="s">
        <v>130</v>
      </c>
      <c r="B54" s="2">
        <f t="shared" si="0"/>
        <v>1</v>
      </c>
    </row>
    <row r="55" spans="1:2" x14ac:dyDescent="0.25">
      <c r="A55" s="53" t="s">
        <v>194</v>
      </c>
      <c r="B55" s="2">
        <f t="shared" si="0"/>
        <v>3</v>
      </c>
    </row>
    <row r="56" spans="1:2" x14ac:dyDescent="0.25">
      <c r="A56" s="52" t="s">
        <v>195</v>
      </c>
      <c r="B56" s="2">
        <f t="shared" si="0"/>
        <v>1</v>
      </c>
    </row>
    <row r="57" spans="1:2" x14ac:dyDescent="0.25">
      <c r="A57" s="52" t="s">
        <v>131</v>
      </c>
      <c r="B57" s="2">
        <f t="shared" si="0"/>
        <v>1</v>
      </c>
    </row>
    <row r="58" spans="1:2" x14ac:dyDescent="0.25">
      <c r="A58" s="52" t="s">
        <v>196</v>
      </c>
      <c r="B58" s="2">
        <f t="shared" si="0"/>
        <v>1</v>
      </c>
    </row>
    <row r="59" spans="1:2" x14ac:dyDescent="0.25">
      <c r="A59" s="53" t="s">
        <v>132</v>
      </c>
      <c r="B59" s="2">
        <f t="shared" si="0"/>
        <v>2</v>
      </c>
    </row>
    <row r="60" spans="1:2" x14ac:dyDescent="0.25">
      <c r="A60" s="53" t="s">
        <v>133</v>
      </c>
      <c r="B60" s="2">
        <f t="shared" si="0"/>
        <v>4</v>
      </c>
    </row>
    <row r="61" spans="1:2" x14ac:dyDescent="0.25">
      <c r="A61" s="52" t="s">
        <v>134</v>
      </c>
      <c r="B61" s="2">
        <f t="shared" si="0"/>
        <v>1</v>
      </c>
    </row>
    <row r="62" spans="1:2" ht="26.25" x14ac:dyDescent="0.25">
      <c r="A62" s="52" t="s">
        <v>135</v>
      </c>
      <c r="B62" s="2">
        <f t="shared" si="0"/>
        <v>1</v>
      </c>
    </row>
    <row r="63" spans="1:2" ht="39" x14ac:dyDescent="0.25">
      <c r="A63" s="52" t="s">
        <v>136</v>
      </c>
      <c r="B63" s="2">
        <f t="shared" si="0"/>
        <v>1</v>
      </c>
    </row>
    <row r="64" spans="1:2" x14ac:dyDescent="0.25">
      <c r="A64" s="52" t="s">
        <v>137</v>
      </c>
      <c r="B64" s="2">
        <f t="shared" si="0"/>
        <v>1</v>
      </c>
    </row>
    <row r="65" spans="1:2" ht="26.25" x14ac:dyDescent="0.25">
      <c r="A65" s="52" t="s">
        <v>197</v>
      </c>
      <c r="B65" s="2">
        <f t="shared" si="0"/>
        <v>1</v>
      </c>
    </row>
    <row r="66" spans="1:2" x14ac:dyDescent="0.25">
      <c r="A66" s="53" t="s">
        <v>138</v>
      </c>
      <c r="B66" s="2">
        <f t="shared" si="0"/>
        <v>1</v>
      </c>
    </row>
    <row r="67" spans="1:2" x14ac:dyDescent="0.25">
      <c r="A67" s="53" t="s">
        <v>198</v>
      </c>
      <c r="B67" s="2">
        <f t="shared" ref="B67:B130" si="1">COUNTIF($A:$A,A67)</f>
        <v>2</v>
      </c>
    </row>
    <row r="68" spans="1:2" x14ac:dyDescent="0.25">
      <c r="A68" s="52" t="s">
        <v>139</v>
      </c>
      <c r="B68" s="2">
        <f t="shared" si="1"/>
        <v>1</v>
      </c>
    </row>
    <row r="69" spans="1:2" x14ac:dyDescent="0.25">
      <c r="A69" s="52" t="s">
        <v>199</v>
      </c>
      <c r="B69" s="2">
        <f t="shared" si="1"/>
        <v>1</v>
      </c>
    </row>
    <row r="70" spans="1:2" x14ac:dyDescent="0.25">
      <c r="A70" s="57" t="s">
        <v>140</v>
      </c>
      <c r="B70" s="2">
        <f t="shared" si="1"/>
        <v>2</v>
      </c>
    </row>
    <row r="71" spans="1:2" ht="26.25" x14ac:dyDescent="0.25">
      <c r="A71" s="53" t="s">
        <v>78</v>
      </c>
      <c r="B71" s="2">
        <f t="shared" si="1"/>
        <v>2</v>
      </c>
    </row>
    <row r="72" spans="1:2" x14ac:dyDescent="0.25">
      <c r="A72" s="52" t="s">
        <v>141</v>
      </c>
      <c r="B72" s="2">
        <f t="shared" si="1"/>
        <v>2</v>
      </c>
    </row>
    <row r="73" spans="1:2" x14ac:dyDescent="0.25">
      <c r="A73" s="52" t="s">
        <v>142</v>
      </c>
      <c r="B73" s="2">
        <f t="shared" si="1"/>
        <v>1</v>
      </c>
    </row>
    <row r="74" spans="1:2" x14ac:dyDescent="0.25">
      <c r="A74" s="53" t="s">
        <v>200</v>
      </c>
      <c r="B74" s="2">
        <f t="shared" si="1"/>
        <v>1</v>
      </c>
    </row>
    <row r="75" spans="1:2" x14ac:dyDescent="0.25">
      <c r="A75" s="53" t="s">
        <v>143</v>
      </c>
      <c r="B75" s="2">
        <f t="shared" si="1"/>
        <v>1</v>
      </c>
    </row>
    <row r="76" spans="1:2" x14ac:dyDescent="0.25">
      <c r="A76" s="52" t="s">
        <v>144</v>
      </c>
      <c r="B76" s="2">
        <f t="shared" si="1"/>
        <v>1</v>
      </c>
    </row>
    <row r="77" spans="1:2" x14ac:dyDescent="0.25">
      <c r="A77" s="53" t="s">
        <v>145</v>
      </c>
      <c r="B77" s="2">
        <f t="shared" si="1"/>
        <v>1</v>
      </c>
    </row>
    <row r="78" spans="1:2" x14ac:dyDescent="0.25">
      <c r="A78" s="57" t="s">
        <v>146</v>
      </c>
      <c r="B78" s="2">
        <f t="shared" si="1"/>
        <v>3</v>
      </c>
    </row>
    <row r="79" spans="1:2" x14ac:dyDescent="0.25">
      <c r="A79" s="53" t="s">
        <v>147</v>
      </c>
      <c r="B79" s="2">
        <f t="shared" si="1"/>
        <v>1</v>
      </c>
    </row>
    <row r="80" spans="1:2" x14ac:dyDescent="0.25">
      <c r="A80" s="52" t="s">
        <v>148</v>
      </c>
      <c r="B80" s="2">
        <f t="shared" si="1"/>
        <v>1</v>
      </c>
    </row>
    <row r="81" spans="1:2" ht="26.25" x14ac:dyDescent="0.25">
      <c r="A81" s="53" t="s">
        <v>201</v>
      </c>
      <c r="B81" s="2">
        <f t="shared" si="1"/>
        <v>1</v>
      </c>
    </row>
    <row r="82" spans="1:2" x14ac:dyDescent="0.25">
      <c r="A82" s="55" t="s">
        <v>149</v>
      </c>
      <c r="B82" s="2">
        <f t="shared" si="1"/>
        <v>2</v>
      </c>
    </row>
    <row r="83" spans="1:2" x14ac:dyDescent="0.25">
      <c r="A83" s="53" t="s">
        <v>150</v>
      </c>
      <c r="B83" s="2">
        <f t="shared" si="1"/>
        <v>1</v>
      </c>
    </row>
    <row r="84" spans="1:2" x14ac:dyDescent="0.25">
      <c r="A84" s="52" t="s">
        <v>151</v>
      </c>
      <c r="B84" s="2">
        <f t="shared" si="1"/>
        <v>2</v>
      </c>
    </row>
    <row r="85" spans="1:2" x14ac:dyDescent="0.25">
      <c r="A85" s="52" t="s">
        <v>152</v>
      </c>
      <c r="B85" s="2">
        <f t="shared" si="1"/>
        <v>1</v>
      </c>
    </row>
    <row r="86" spans="1:2" x14ac:dyDescent="0.25">
      <c r="A86" s="52" t="s">
        <v>153</v>
      </c>
      <c r="B86" s="2">
        <f t="shared" si="1"/>
        <v>1</v>
      </c>
    </row>
    <row r="87" spans="1:2" x14ac:dyDescent="0.25">
      <c r="A87" s="52" t="s">
        <v>202</v>
      </c>
      <c r="B87" s="2">
        <f t="shared" si="1"/>
        <v>1</v>
      </c>
    </row>
    <row r="88" spans="1:2" x14ac:dyDescent="0.25">
      <c r="A88" s="55" t="s">
        <v>154</v>
      </c>
      <c r="B88" s="2">
        <f t="shared" si="1"/>
        <v>2</v>
      </c>
    </row>
    <row r="89" spans="1:2" x14ac:dyDescent="0.25">
      <c r="A89" s="52" t="s">
        <v>203</v>
      </c>
      <c r="B89" s="2">
        <f t="shared" si="1"/>
        <v>1</v>
      </c>
    </row>
    <row r="90" spans="1:2" x14ac:dyDescent="0.25">
      <c r="A90" s="53" t="s">
        <v>155</v>
      </c>
      <c r="B90" s="2">
        <f t="shared" si="1"/>
        <v>1</v>
      </c>
    </row>
    <row r="91" spans="1:2" x14ac:dyDescent="0.25">
      <c r="A91" s="53" t="s">
        <v>156</v>
      </c>
      <c r="B91" s="2">
        <f t="shared" si="1"/>
        <v>1</v>
      </c>
    </row>
    <row r="92" spans="1:2" x14ac:dyDescent="0.25">
      <c r="A92" s="53" t="s">
        <v>545</v>
      </c>
      <c r="B92" s="2">
        <f t="shared" si="1"/>
        <v>1</v>
      </c>
    </row>
    <row r="93" spans="1:2" x14ac:dyDescent="0.25">
      <c r="A93" s="54" t="s">
        <v>157</v>
      </c>
      <c r="B93" s="2">
        <f t="shared" si="1"/>
        <v>2</v>
      </c>
    </row>
    <row r="94" spans="1:2" x14ac:dyDescent="0.25">
      <c r="A94" s="53" t="s">
        <v>204</v>
      </c>
      <c r="B94" s="2">
        <f t="shared" si="1"/>
        <v>2</v>
      </c>
    </row>
    <row r="95" spans="1:2" x14ac:dyDescent="0.25">
      <c r="A95" s="52" t="s">
        <v>158</v>
      </c>
      <c r="B95" s="2">
        <f t="shared" si="1"/>
        <v>1</v>
      </c>
    </row>
    <row r="96" spans="1:2" x14ac:dyDescent="0.25">
      <c r="A96" s="52" t="s">
        <v>160</v>
      </c>
      <c r="B96" s="2">
        <f t="shared" si="1"/>
        <v>1</v>
      </c>
    </row>
    <row r="97" spans="1:2" x14ac:dyDescent="0.25">
      <c r="A97" s="52" t="s">
        <v>161</v>
      </c>
      <c r="B97" s="2">
        <f t="shared" si="1"/>
        <v>1</v>
      </c>
    </row>
    <row r="98" spans="1:2" x14ac:dyDescent="0.25">
      <c r="A98" s="52" t="s">
        <v>162</v>
      </c>
      <c r="B98" s="2">
        <f t="shared" si="1"/>
        <v>1</v>
      </c>
    </row>
    <row r="99" spans="1:2" x14ac:dyDescent="0.25">
      <c r="A99" s="53" t="s">
        <v>91</v>
      </c>
      <c r="B99" s="2">
        <f t="shared" si="1"/>
        <v>2</v>
      </c>
    </row>
    <row r="100" spans="1:2" ht="26.25" x14ac:dyDescent="0.25">
      <c r="A100" s="52" t="s">
        <v>205</v>
      </c>
      <c r="B100" s="2">
        <f t="shared" si="1"/>
        <v>1</v>
      </c>
    </row>
    <row r="101" spans="1:2" x14ac:dyDescent="0.25">
      <c r="A101" s="52" t="s">
        <v>163</v>
      </c>
      <c r="B101" s="2">
        <f t="shared" si="1"/>
        <v>1</v>
      </c>
    </row>
    <row r="102" spans="1:2" x14ac:dyDescent="0.25">
      <c r="A102" s="52" t="s">
        <v>164</v>
      </c>
      <c r="B102" s="2">
        <f t="shared" si="1"/>
        <v>1</v>
      </c>
    </row>
    <row r="103" spans="1:2" x14ac:dyDescent="0.25">
      <c r="A103" s="53" t="s">
        <v>94</v>
      </c>
      <c r="B103" s="2">
        <f t="shared" si="1"/>
        <v>7</v>
      </c>
    </row>
    <row r="104" spans="1:2" x14ac:dyDescent="0.25">
      <c r="A104" s="52" t="s">
        <v>165</v>
      </c>
      <c r="B104" s="2">
        <f t="shared" si="1"/>
        <v>2</v>
      </c>
    </row>
    <row r="105" spans="1:2" x14ac:dyDescent="0.25">
      <c r="A105" s="52" t="s">
        <v>166</v>
      </c>
      <c r="B105" s="2">
        <f t="shared" si="1"/>
        <v>1</v>
      </c>
    </row>
    <row r="106" spans="1:2" x14ac:dyDescent="0.25">
      <c r="A106" s="52" t="s">
        <v>730</v>
      </c>
      <c r="B106" s="2">
        <f t="shared" si="1"/>
        <v>1</v>
      </c>
    </row>
    <row r="107" spans="1:2" x14ac:dyDescent="0.25">
      <c r="A107" s="52" t="s">
        <v>167</v>
      </c>
      <c r="B107" s="2">
        <f t="shared" si="1"/>
        <v>1</v>
      </c>
    </row>
    <row r="108" spans="1:2" x14ac:dyDescent="0.25">
      <c r="A108" s="52" t="s">
        <v>168</v>
      </c>
      <c r="B108" s="2">
        <f t="shared" si="1"/>
        <v>1</v>
      </c>
    </row>
    <row r="109" spans="1:2" x14ac:dyDescent="0.25">
      <c r="A109" s="52" t="s">
        <v>169</v>
      </c>
      <c r="B109" s="2">
        <f t="shared" si="1"/>
        <v>1</v>
      </c>
    </row>
    <row r="110" spans="1:2" x14ac:dyDescent="0.25">
      <c r="A110" s="57" t="s">
        <v>46</v>
      </c>
      <c r="B110" s="2">
        <f t="shared" si="1"/>
        <v>3</v>
      </c>
    </row>
    <row r="111" spans="1:2" x14ac:dyDescent="0.25">
      <c r="A111" s="52" t="s">
        <v>170</v>
      </c>
      <c r="B111" s="2">
        <f t="shared" si="1"/>
        <v>1</v>
      </c>
    </row>
    <row r="112" spans="1:2" x14ac:dyDescent="0.25">
      <c r="A112" s="52" t="s">
        <v>171</v>
      </c>
      <c r="B112" s="2">
        <f t="shared" si="1"/>
        <v>2</v>
      </c>
    </row>
    <row r="113" spans="1:2" x14ac:dyDescent="0.25">
      <c r="A113" s="52" t="s">
        <v>171</v>
      </c>
      <c r="B113" s="2">
        <f t="shared" si="1"/>
        <v>2</v>
      </c>
    </row>
    <row r="114" spans="1:2" x14ac:dyDescent="0.25">
      <c r="A114" s="53" t="s">
        <v>172</v>
      </c>
      <c r="B114" s="2">
        <f t="shared" si="1"/>
        <v>2</v>
      </c>
    </row>
    <row r="115" spans="1:2" x14ac:dyDescent="0.25">
      <c r="A115" s="52" t="s">
        <v>173</v>
      </c>
      <c r="B115" s="2">
        <f t="shared" si="1"/>
        <v>1</v>
      </c>
    </row>
    <row r="116" spans="1:2" ht="26.25" x14ac:dyDescent="0.25">
      <c r="A116" s="52" t="s">
        <v>206</v>
      </c>
      <c r="B116" s="2">
        <f t="shared" si="1"/>
        <v>2</v>
      </c>
    </row>
    <row r="117" spans="1:2" ht="26.25" x14ac:dyDescent="0.25">
      <c r="A117" s="52" t="s">
        <v>206</v>
      </c>
      <c r="B117" s="2">
        <f t="shared" si="1"/>
        <v>2</v>
      </c>
    </row>
    <row r="118" spans="1:2" x14ac:dyDescent="0.25">
      <c r="A118" s="53" t="s">
        <v>207</v>
      </c>
      <c r="B118" s="2">
        <f t="shared" si="1"/>
        <v>1</v>
      </c>
    </row>
    <row r="119" spans="1:2" x14ac:dyDescent="0.25">
      <c r="A119" s="52" t="s">
        <v>174</v>
      </c>
      <c r="B119" s="2">
        <f t="shared" si="1"/>
        <v>1</v>
      </c>
    </row>
    <row r="120" spans="1:2" x14ac:dyDescent="0.25">
      <c r="A120" s="53" t="s">
        <v>175</v>
      </c>
      <c r="B120" s="2">
        <f t="shared" si="1"/>
        <v>1</v>
      </c>
    </row>
    <row r="121" spans="1:2" x14ac:dyDescent="0.25">
      <c r="A121" s="52" t="s">
        <v>176</v>
      </c>
      <c r="B121" s="2">
        <f t="shared" si="1"/>
        <v>1</v>
      </c>
    </row>
    <row r="122" spans="1:2" x14ac:dyDescent="0.25">
      <c r="A122" s="52" t="s">
        <v>208</v>
      </c>
      <c r="B122" s="2">
        <f t="shared" si="1"/>
        <v>1</v>
      </c>
    </row>
    <row r="123" spans="1:2" x14ac:dyDescent="0.25">
      <c r="A123" s="52" t="s">
        <v>209</v>
      </c>
      <c r="B123" s="2">
        <f t="shared" si="1"/>
        <v>1</v>
      </c>
    </row>
    <row r="124" spans="1:2" x14ac:dyDescent="0.25">
      <c r="A124" s="53" t="s">
        <v>210</v>
      </c>
      <c r="B124" s="2">
        <f t="shared" si="1"/>
        <v>1</v>
      </c>
    </row>
    <row r="125" spans="1:2" x14ac:dyDescent="0.25">
      <c r="A125" s="52" t="s">
        <v>177</v>
      </c>
      <c r="B125" s="2">
        <f t="shared" si="1"/>
        <v>1</v>
      </c>
    </row>
    <row r="126" spans="1:2" x14ac:dyDescent="0.25">
      <c r="A126" s="58" t="s">
        <v>2</v>
      </c>
      <c r="B126" s="2">
        <f t="shared" si="1"/>
        <v>1</v>
      </c>
    </row>
    <row r="127" spans="1:2" x14ac:dyDescent="0.25">
      <c r="A127" s="59" t="s">
        <v>53</v>
      </c>
      <c r="B127" s="2">
        <f t="shared" si="1"/>
        <v>1</v>
      </c>
    </row>
    <row r="128" spans="1:2" x14ac:dyDescent="0.25">
      <c r="A128" s="58" t="s">
        <v>54</v>
      </c>
      <c r="B128" s="2">
        <f t="shared" si="1"/>
        <v>5</v>
      </c>
    </row>
    <row r="129" spans="1:2" x14ac:dyDescent="0.25">
      <c r="A129" s="60" t="s">
        <v>734</v>
      </c>
      <c r="B129" s="2">
        <f t="shared" si="1"/>
        <v>1</v>
      </c>
    </row>
    <row r="130" spans="1:2" x14ac:dyDescent="0.25">
      <c r="A130" s="58" t="s">
        <v>3</v>
      </c>
      <c r="B130" s="2">
        <f t="shared" si="1"/>
        <v>1</v>
      </c>
    </row>
    <row r="131" spans="1:2" x14ac:dyDescent="0.25">
      <c r="A131" s="61" t="s">
        <v>425</v>
      </c>
      <c r="B131" s="2">
        <f t="shared" ref="B131:B194" si="2">COUNTIF($A:$A,A131)</f>
        <v>2</v>
      </c>
    </row>
    <row r="132" spans="1:2" x14ac:dyDescent="0.25">
      <c r="A132" s="60" t="s">
        <v>735</v>
      </c>
      <c r="B132" s="2">
        <f t="shared" si="2"/>
        <v>1</v>
      </c>
    </row>
    <row r="133" spans="1:2" x14ac:dyDescent="0.25">
      <c r="A133" s="58" t="s">
        <v>4</v>
      </c>
      <c r="B133" s="2">
        <f t="shared" si="2"/>
        <v>1</v>
      </c>
    </row>
    <row r="134" spans="1:2" x14ac:dyDescent="0.25">
      <c r="A134" s="58" t="s">
        <v>5</v>
      </c>
      <c r="B134" s="2">
        <f t="shared" si="2"/>
        <v>1</v>
      </c>
    </row>
    <row r="135" spans="1:2" x14ac:dyDescent="0.25">
      <c r="A135" s="60" t="s">
        <v>736</v>
      </c>
      <c r="B135" s="2">
        <f t="shared" si="2"/>
        <v>1</v>
      </c>
    </row>
    <row r="136" spans="1:2" x14ac:dyDescent="0.25">
      <c r="A136" s="59" t="s">
        <v>55</v>
      </c>
      <c r="B136" s="2">
        <f t="shared" si="2"/>
        <v>2</v>
      </c>
    </row>
    <row r="137" spans="1:2" x14ac:dyDescent="0.25">
      <c r="A137" s="58" t="s">
        <v>56</v>
      </c>
      <c r="B137" s="2">
        <f t="shared" si="2"/>
        <v>1</v>
      </c>
    </row>
    <row r="138" spans="1:2" x14ac:dyDescent="0.25">
      <c r="A138" s="58" t="s">
        <v>6</v>
      </c>
      <c r="B138" s="2">
        <f t="shared" si="2"/>
        <v>1</v>
      </c>
    </row>
    <row r="139" spans="1:2" x14ac:dyDescent="0.25">
      <c r="A139" s="62" t="s">
        <v>57</v>
      </c>
      <c r="B139" s="2">
        <f t="shared" si="2"/>
        <v>2</v>
      </c>
    </row>
    <row r="140" spans="1:2" x14ac:dyDescent="0.25">
      <c r="A140" s="59" t="s">
        <v>7</v>
      </c>
      <c r="B140" s="2">
        <f t="shared" si="2"/>
        <v>2</v>
      </c>
    </row>
    <row r="141" spans="1:2" x14ac:dyDescent="0.25">
      <c r="A141" s="61" t="s">
        <v>737</v>
      </c>
      <c r="B141" s="2">
        <f t="shared" si="2"/>
        <v>1</v>
      </c>
    </row>
    <row r="142" spans="1:2" x14ac:dyDescent="0.25">
      <c r="A142" s="63" t="s">
        <v>738</v>
      </c>
      <c r="B142" s="2">
        <f t="shared" si="2"/>
        <v>1</v>
      </c>
    </row>
    <row r="143" spans="1:2" x14ac:dyDescent="0.25">
      <c r="A143" s="58" t="s">
        <v>8</v>
      </c>
      <c r="B143" s="2">
        <f t="shared" si="2"/>
        <v>1</v>
      </c>
    </row>
    <row r="144" spans="1:2" x14ac:dyDescent="0.25">
      <c r="A144" s="60" t="s">
        <v>739</v>
      </c>
      <c r="B144" s="2">
        <f t="shared" si="2"/>
        <v>1</v>
      </c>
    </row>
    <row r="145" spans="1:2" x14ac:dyDescent="0.25">
      <c r="A145" s="58" t="s">
        <v>9</v>
      </c>
      <c r="B145" s="2">
        <f t="shared" si="2"/>
        <v>1</v>
      </c>
    </row>
    <row r="146" spans="1:2" x14ac:dyDescent="0.25">
      <c r="A146" s="58" t="s">
        <v>10</v>
      </c>
      <c r="B146" s="2">
        <f t="shared" si="2"/>
        <v>2</v>
      </c>
    </row>
    <row r="147" spans="1:2" ht="29.25" x14ac:dyDescent="0.25">
      <c r="A147" s="58" t="s">
        <v>11</v>
      </c>
      <c r="B147" s="2">
        <f t="shared" si="2"/>
        <v>1</v>
      </c>
    </row>
    <row r="148" spans="1:2" x14ac:dyDescent="0.25">
      <c r="A148" s="63" t="s">
        <v>51</v>
      </c>
      <c r="B148" s="2">
        <f t="shared" si="2"/>
        <v>2</v>
      </c>
    </row>
    <row r="149" spans="1:2" x14ac:dyDescent="0.25">
      <c r="A149" s="58" t="s">
        <v>12</v>
      </c>
      <c r="B149" s="2">
        <f t="shared" si="2"/>
        <v>1</v>
      </c>
    </row>
    <row r="150" spans="1:2" x14ac:dyDescent="0.25">
      <c r="A150" s="60" t="s">
        <v>498</v>
      </c>
      <c r="B150" s="2">
        <f t="shared" si="2"/>
        <v>3</v>
      </c>
    </row>
    <row r="151" spans="1:2" ht="29.25" x14ac:dyDescent="0.25">
      <c r="A151" s="59" t="s">
        <v>13</v>
      </c>
      <c r="B151" s="2">
        <f t="shared" si="2"/>
        <v>1</v>
      </c>
    </row>
    <row r="152" spans="1:2" x14ac:dyDescent="0.25">
      <c r="A152" s="60" t="s">
        <v>185</v>
      </c>
      <c r="B152" s="2">
        <f t="shared" si="2"/>
        <v>4</v>
      </c>
    </row>
    <row r="153" spans="1:2" x14ac:dyDescent="0.25">
      <c r="A153" s="58" t="s">
        <v>14</v>
      </c>
      <c r="B153" s="2">
        <f t="shared" si="2"/>
        <v>1</v>
      </c>
    </row>
    <row r="154" spans="1:2" x14ac:dyDescent="0.25">
      <c r="A154" s="58" t="s">
        <v>15</v>
      </c>
      <c r="B154" s="2">
        <f t="shared" si="2"/>
        <v>1</v>
      </c>
    </row>
    <row r="155" spans="1:2" x14ac:dyDescent="0.25">
      <c r="A155" s="60" t="s">
        <v>657</v>
      </c>
      <c r="B155" s="2">
        <f t="shared" si="2"/>
        <v>2</v>
      </c>
    </row>
    <row r="156" spans="1:2" x14ac:dyDescent="0.25">
      <c r="A156" s="58" t="s">
        <v>16</v>
      </c>
      <c r="B156" s="2">
        <f t="shared" si="2"/>
        <v>1</v>
      </c>
    </row>
    <row r="157" spans="1:2" x14ac:dyDescent="0.25">
      <c r="A157" s="63" t="s">
        <v>658</v>
      </c>
      <c r="B157" s="2">
        <f t="shared" si="2"/>
        <v>2</v>
      </c>
    </row>
    <row r="158" spans="1:2" x14ac:dyDescent="0.25">
      <c r="A158" s="60" t="s">
        <v>233</v>
      </c>
      <c r="B158" s="2">
        <f t="shared" si="2"/>
        <v>2</v>
      </c>
    </row>
    <row r="159" spans="1:2" ht="29.25" x14ac:dyDescent="0.25">
      <c r="A159" s="58" t="s">
        <v>58</v>
      </c>
      <c r="B159" s="2">
        <f t="shared" si="2"/>
        <v>1</v>
      </c>
    </row>
    <row r="160" spans="1:2" x14ac:dyDescent="0.25">
      <c r="A160" s="59" t="s">
        <v>17</v>
      </c>
      <c r="B160" s="2">
        <f t="shared" si="2"/>
        <v>2</v>
      </c>
    </row>
    <row r="161" spans="1:2" x14ac:dyDescent="0.25">
      <c r="A161" s="58" t="s">
        <v>18</v>
      </c>
      <c r="B161" s="2">
        <f t="shared" si="2"/>
        <v>1</v>
      </c>
    </row>
    <row r="162" spans="1:2" ht="29.25" x14ac:dyDescent="0.25">
      <c r="A162" s="60" t="s">
        <v>740</v>
      </c>
      <c r="B162" s="2">
        <f t="shared" si="2"/>
        <v>1</v>
      </c>
    </row>
    <row r="163" spans="1:2" x14ac:dyDescent="0.25">
      <c r="A163" s="64" t="s">
        <v>59</v>
      </c>
      <c r="B163" s="2">
        <f t="shared" si="2"/>
        <v>2</v>
      </c>
    </row>
    <row r="164" spans="1:2" ht="29.25" x14ac:dyDescent="0.25">
      <c r="A164" s="58" t="s">
        <v>19</v>
      </c>
      <c r="B164" s="2">
        <f t="shared" si="2"/>
        <v>1</v>
      </c>
    </row>
    <row r="165" spans="1:2" ht="29.25" x14ac:dyDescent="0.25">
      <c r="A165" s="58" t="s">
        <v>60</v>
      </c>
      <c r="B165" s="2">
        <f t="shared" si="2"/>
        <v>1</v>
      </c>
    </row>
    <row r="166" spans="1:2" x14ac:dyDescent="0.25">
      <c r="A166" s="59" t="s">
        <v>20</v>
      </c>
      <c r="B166" s="2">
        <f t="shared" si="2"/>
        <v>2</v>
      </c>
    </row>
    <row r="167" spans="1:2" x14ac:dyDescent="0.25">
      <c r="A167" s="58" t="s">
        <v>21</v>
      </c>
      <c r="B167" s="2">
        <f t="shared" si="2"/>
        <v>2</v>
      </c>
    </row>
    <row r="168" spans="1:2" x14ac:dyDescent="0.25">
      <c r="A168" s="65" t="s">
        <v>22</v>
      </c>
      <c r="B168" s="2">
        <f t="shared" si="2"/>
        <v>2</v>
      </c>
    </row>
    <row r="169" spans="1:2" x14ac:dyDescent="0.25">
      <c r="A169" s="66" t="s">
        <v>61</v>
      </c>
      <c r="B169" s="2">
        <f t="shared" si="2"/>
        <v>1</v>
      </c>
    </row>
    <row r="170" spans="1:2" x14ac:dyDescent="0.25">
      <c r="A170" s="66" t="s">
        <v>62</v>
      </c>
      <c r="B170" s="2">
        <f t="shared" si="2"/>
        <v>1</v>
      </c>
    </row>
    <row r="171" spans="1:2" x14ac:dyDescent="0.25">
      <c r="A171" s="66" t="s">
        <v>23</v>
      </c>
      <c r="B171" s="2">
        <f t="shared" si="2"/>
        <v>2</v>
      </c>
    </row>
    <row r="172" spans="1:2" x14ac:dyDescent="0.25">
      <c r="A172" s="59" t="s">
        <v>63</v>
      </c>
      <c r="B172" s="2">
        <f t="shared" si="2"/>
        <v>2</v>
      </c>
    </row>
    <row r="173" spans="1:2" x14ac:dyDescent="0.25">
      <c r="A173" s="58" t="s">
        <v>24</v>
      </c>
      <c r="B173" s="2">
        <f t="shared" si="2"/>
        <v>2</v>
      </c>
    </row>
    <row r="174" spans="1:2" x14ac:dyDescent="0.25">
      <c r="A174" s="60" t="s">
        <v>115</v>
      </c>
      <c r="B174" s="2">
        <f t="shared" si="2"/>
        <v>2</v>
      </c>
    </row>
    <row r="175" spans="1:2" x14ac:dyDescent="0.25">
      <c r="A175" s="66" t="s">
        <v>25</v>
      </c>
      <c r="B175" s="2">
        <f t="shared" si="2"/>
        <v>1</v>
      </c>
    </row>
    <row r="176" spans="1:2" x14ac:dyDescent="0.25">
      <c r="A176" s="58" t="s">
        <v>64</v>
      </c>
      <c r="B176" s="2">
        <f t="shared" si="2"/>
        <v>1</v>
      </c>
    </row>
    <row r="177" spans="1:2" x14ac:dyDescent="0.25">
      <c r="A177" s="58" t="s">
        <v>65</v>
      </c>
      <c r="B177" s="2">
        <f t="shared" si="2"/>
        <v>1</v>
      </c>
    </row>
    <row r="178" spans="1:2" x14ac:dyDescent="0.25">
      <c r="A178" s="60" t="s">
        <v>741</v>
      </c>
      <c r="B178" s="2">
        <f t="shared" si="2"/>
        <v>1</v>
      </c>
    </row>
    <row r="179" spans="1:2" x14ac:dyDescent="0.25">
      <c r="A179" s="65" t="s">
        <v>66</v>
      </c>
      <c r="B179" s="2">
        <f t="shared" si="2"/>
        <v>2</v>
      </c>
    </row>
    <row r="180" spans="1:2" x14ac:dyDescent="0.25">
      <c r="A180" s="58" t="s">
        <v>26</v>
      </c>
      <c r="B180" s="2">
        <f t="shared" si="2"/>
        <v>1</v>
      </c>
    </row>
    <row r="181" spans="1:2" x14ac:dyDescent="0.25">
      <c r="A181" s="58" t="s">
        <v>67</v>
      </c>
      <c r="B181" s="2">
        <f t="shared" si="2"/>
        <v>1</v>
      </c>
    </row>
    <row r="182" spans="1:2" ht="29.25" x14ac:dyDescent="0.25">
      <c r="A182" s="60" t="s">
        <v>742</v>
      </c>
      <c r="B182" s="2">
        <f t="shared" si="2"/>
        <v>1</v>
      </c>
    </row>
    <row r="183" spans="1:2" x14ac:dyDescent="0.25">
      <c r="A183" s="60" t="s">
        <v>743</v>
      </c>
      <c r="B183" s="2">
        <f t="shared" si="2"/>
        <v>1</v>
      </c>
    </row>
    <row r="184" spans="1:2" x14ac:dyDescent="0.25">
      <c r="A184" s="59" t="s">
        <v>27</v>
      </c>
      <c r="B184" s="2">
        <f t="shared" si="2"/>
        <v>1</v>
      </c>
    </row>
    <row r="185" spans="1:2" x14ac:dyDescent="0.25">
      <c r="A185" s="58" t="s">
        <v>28</v>
      </c>
      <c r="B185" s="2">
        <f t="shared" si="2"/>
        <v>1</v>
      </c>
    </row>
    <row r="186" spans="1:2" x14ac:dyDescent="0.25">
      <c r="A186" s="66" t="s">
        <v>68</v>
      </c>
      <c r="B186" s="2">
        <f t="shared" si="2"/>
        <v>2</v>
      </c>
    </row>
    <row r="187" spans="1:2" x14ac:dyDescent="0.25">
      <c r="A187" s="60" t="s">
        <v>744</v>
      </c>
      <c r="B187" s="2">
        <f t="shared" si="2"/>
        <v>1</v>
      </c>
    </row>
    <row r="188" spans="1:2" x14ac:dyDescent="0.25">
      <c r="A188" s="58" t="s">
        <v>69</v>
      </c>
      <c r="B188" s="2">
        <f t="shared" si="2"/>
        <v>1</v>
      </c>
    </row>
    <row r="189" spans="1:2" x14ac:dyDescent="0.25">
      <c r="A189" s="58" t="s">
        <v>29</v>
      </c>
      <c r="B189" s="2">
        <f t="shared" si="2"/>
        <v>1</v>
      </c>
    </row>
    <row r="190" spans="1:2" x14ac:dyDescent="0.25">
      <c r="A190" s="58" t="s">
        <v>70</v>
      </c>
      <c r="B190" s="2">
        <f t="shared" si="2"/>
        <v>2</v>
      </c>
    </row>
    <row r="191" spans="1:2" x14ac:dyDescent="0.25">
      <c r="A191" s="58" t="s">
        <v>30</v>
      </c>
      <c r="B191" s="2">
        <f t="shared" si="2"/>
        <v>1</v>
      </c>
    </row>
    <row r="192" spans="1:2" x14ac:dyDescent="0.25">
      <c r="A192" s="58" t="s">
        <v>31</v>
      </c>
      <c r="B192" s="2">
        <f t="shared" si="2"/>
        <v>1</v>
      </c>
    </row>
    <row r="193" spans="1:2" x14ac:dyDescent="0.25">
      <c r="A193" s="58" t="s">
        <v>71</v>
      </c>
      <c r="B193" s="2">
        <f t="shared" si="2"/>
        <v>1</v>
      </c>
    </row>
    <row r="194" spans="1:2" x14ac:dyDescent="0.25">
      <c r="A194" s="60" t="s">
        <v>745</v>
      </c>
      <c r="B194" s="2">
        <f t="shared" si="2"/>
        <v>1</v>
      </c>
    </row>
    <row r="195" spans="1:2" x14ac:dyDescent="0.25">
      <c r="A195" s="60" t="s">
        <v>746</v>
      </c>
      <c r="B195" s="2">
        <f t="shared" ref="B195:B258" si="3">COUNTIF($A:$A,A195)</f>
        <v>1</v>
      </c>
    </row>
    <row r="196" spans="1:2" x14ac:dyDescent="0.25">
      <c r="A196" s="61" t="s">
        <v>747</v>
      </c>
      <c r="B196" s="2">
        <f t="shared" si="3"/>
        <v>1</v>
      </c>
    </row>
    <row r="197" spans="1:2" x14ac:dyDescent="0.25">
      <c r="A197" s="62" t="s">
        <v>72</v>
      </c>
      <c r="B197" s="2">
        <f t="shared" si="3"/>
        <v>1</v>
      </c>
    </row>
    <row r="198" spans="1:2" x14ac:dyDescent="0.25">
      <c r="A198" s="58" t="s">
        <v>32</v>
      </c>
      <c r="B198" s="2">
        <f t="shared" si="3"/>
        <v>1</v>
      </c>
    </row>
    <row r="199" spans="1:2" x14ac:dyDescent="0.25">
      <c r="A199" s="59" t="s">
        <v>33</v>
      </c>
      <c r="B199" s="2">
        <f t="shared" si="3"/>
        <v>3</v>
      </c>
    </row>
    <row r="200" spans="1:2" ht="29.25" x14ac:dyDescent="0.25">
      <c r="A200" s="59" t="s">
        <v>73</v>
      </c>
      <c r="B200" s="2">
        <f t="shared" si="3"/>
        <v>2</v>
      </c>
    </row>
    <row r="201" spans="1:2" x14ac:dyDescent="0.25">
      <c r="A201" s="60" t="s">
        <v>748</v>
      </c>
      <c r="B201" s="2">
        <f t="shared" si="3"/>
        <v>1</v>
      </c>
    </row>
    <row r="202" spans="1:2" x14ac:dyDescent="0.25">
      <c r="A202" s="58" t="s">
        <v>34</v>
      </c>
      <c r="B202" s="2">
        <f t="shared" si="3"/>
        <v>1</v>
      </c>
    </row>
    <row r="203" spans="1:2" x14ac:dyDescent="0.25">
      <c r="A203" s="60" t="s">
        <v>749</v>
      </c>
      <c r="B203" s="2">
        <f t="shared" si="3"/>
        <v>1</v>
      </c>
    </row>
    <row r="204" spans="1:2" x14ac:dyDescent="0.25">
      <c r="A204" s="60" t="s">
        <v>336</v>
      </c>
      <c r="B204" s="2">
        <f t="shared" si="3"/>
        <v>3</v>
      </c>
    </row>
    <row r="205" spans="1:2" ht="29.25" x14ac:dyDescent="0.25">
      <c r="A205" s="60" t="s">
        <v>750</v>
      </c>
      <c r="B205" s="2">
        <f t="shared" si="3"/>
        <v>1</v>
      </c>
    </row>
    <row r="206" spans="1:2" ht="29.25" x14ac:dyDescent="0.25">
      <c r="A206" s="59" t="s">
        <v>74</v>
      </c>
      <c r="B206" s="2">
        <f t="shared" si="3"/>
        <v>1</v>
      </c>
    </row>
    <row r="207" spans="1:2" ht="29.25" x14ac:dyDescent="0.25">
      <c r="A207" s="63" t="s">
        <v>675</v>
      </c>
      <c r="B207" s="2">
        <f t="shared" si="3"/>
        <v>2</v>
      </c>
    </row>
    <row r="208" spans="1:2" x14ac:dyDescent="0.25">
      <c r="A208" s="60" t="s">
        <v>751</v>
      </c>
      <c r="B208" s="2">
        <f t="shared" si="3"/>
        <v>1</v>
      </c>
    </row>
    <row r="209" spans="1:2" x14ac:dyDescent="0.25">
      <c r="A209" s="62" t="s">
        <v>35</v>
      </c>
      <c r="B209" s="2">
        <f t="shared" si="3"/>
        <v>2</v>
      </c>
    </row>
    <row r="210" spans="1:2" x14ac:dyDescent="0.25">
      <c r="A210" s="58" t="s">
        <v>75</v>
      </c>
      <c r="B210" s="2">
        <f t="shared" si="3"/>
        <v>1</v>
      </c>
    </row>
    <row r="211" spans="1:2" x14ac:dyDescent="0.25">
      <c r="A211" s="58" t="s">
        <v>36</v>
      </c>
      <c r="B211" s="2">
        <f t="shared" si="3"/>
        <v>1</v>
      </c>
    </row>
    <row r="212" spans="1:2" x14ac:dyDescent="0.25">
      <c r="A212" s="64" t="s">
        <v>37</v>
      </c>
      <c r="B212" s="2">
        <f t="shared" si="3"/>
        <v>1</v>
      </c>
    </row>
    <row r="213" spans="1:2" x14ac:dyDescent="0.25">
      <c r="A213" s="58" t="s">
        <v>76</v>
      </c>
      <c r="B213" s="2">
        <f t="shared" si="3"/>
        <v>2</v>
      </c>
    </row>
    <row r="214" spans="1:2" x14ac:dyDescent="0.25">
      <c r="A214" s="58" t="s">
        <v>38</v>
      </c>
      <c r="B214" s="2">
        <f t="shared" si="3"/>
        <v>1</v>
      </c>
    </row>
    <row r="215" spans="1:2" x14ac:dyDescent="0.25">
      <c r="A215" s="58" t="s">
        <v>39</v>
      </c>
      <c r="B215" s="2">
        <f t="shared" si="3"/>
        <v>1</v>
      </c>
    </row>
    <row r="216" spans="1:2" x14ac:dyDescent="0.25">
      <c r="A216" s="58" t="s">
        <v>77</v>
      </c>
      <c r="B216" s="2">
        <f t="shared" si="3"/>
        <v>2</v>
      </c>
    </row>
    <row r="217" spans="1:2" ht="29.25" x14ac:dyDescent="0.25">
      <c r="A217" s="58" t="s">
        <v>78</v>
      </c>
      <c r="B217" s="2">
        <f t="shared" si="3"/>
        <v>2</v>
      </c>
    </row>
    <row r="218" spans="1:2" x14ac:dyDescent="0.25">
      <c r="A218" s="64" t="s">
        <v>40</v>
      </c>
      <c r="B218" s="2">
        <f t="shared" si="3"/>
        <v>1</v>
      </c>
    </row>
    <row r="219" spans="1:2" x14ac:dyDescent="0.25">
      <c r="A219" s="58" t="s">
        <v>79</v>
      </c>
      <c r="B219" s="2">
        <f t="shared" si="3"/>
        <v>1</v>
      </c>
    </row>
    <row r="220" spans="1:2" x14ac:dyDescent="0.25">
      <c r="A220" s="60" t="s">
        <v>752</v>
      </c>
      <c r="B220" s="2">
        <f t="shared" si="3"/>
        <v>1</v>
      </c>
    </row>
    <row r="221" spans="1:2" x14ac:dyDescent="0.25">
      <c r="A221" s="58" t="s">
        <v>80</v>
      </c>
      <c r="B221" s="2">
        <f t="shared" si="3"/>
        <v>1</v>
      </c>
    </row>
    <row r="222" spans="1:2" x14ac:dyDescent="0.25">
      <c r="A222" s="60" t="s">
        <v>753</v>
      </c>
      <c r="B222" s="2">
        <f t="shared" si="3"/>
        <v>1</v>
      </c>
    </row>
    <row r="223" spans="1:2" x14ac:dyDescent="0.25">
      <c r="A223" s="60" t="s">
        <v>754</v>
      </c>
      <c r="B223" s="2">
        <f t="shared" si="3"/>
        <v>1</v>
      </c>
    </row>
    <row r="224" spans="1:2" x14ac:dyDescent="0.25">
      <c r="A224" s="59" t="s">
        <v>41</v>
      </c>
      <c r="B224" s="2">
        <f t="shared" si="3"/>
        <v>2</v>
      </c>
    </row>
    <row r="225" spans="1:2" x14ac:dyDescent="0.25">
      <c r="A225" s="61" t="s">
        <v>149</v>
      </c>
      <c r="B225" s="2">
        <f t="shared" si="3"/>
        <v>2</v>
      </c>
    </row>
    <row r="226" spans="1:2" x14ac:dyDescent="0.25">
      <c r="A226" s="61" t="s">
        <v>755</v>
      </c>
      <c r="B226" s="2">
        <f t="shared" si="3"/>
        <v>1</v>
      </c>
    </row>
    <row r="227" spans="1:2" x14ac:dyDescent="0.25">
      <c r="A227" s="60" t="s">
        <v>756</v>
      </c>
      <c r="B227" s="2">
        <f t="shared" si="3"/>
        <v>1</v>
      </c>
    </row>
    <row r="228" spans="1:2" x14ac:dyDescent="0.25">
      <c r="A228" s="58" t="s">
        <v>81</v>
      </c>
      <c r="B228" s="2">
        <f t="shared" si="3"/>
        <v>1</v>
      </c>
    </row>
    <row r="229" spans="1:2" ht="29.25" x14ac:dyDescent="0.25">
      <c r="A229" s="58" t="s">
        <v>82</v>
      </c>
      <c r="B229" s="2">
        <f t="shared" si="3"/>
        <v>1</v>
      </c>
    </row>
    <row r="230" spans="1:2" x14ac:dyDescent="0.25">
      <c r="A230" s="60" t="s">
        <v>757</v>
      </c>
      <c r="B230" s="2">
        <f t="shared" si="3"/>
        <v>1</v>
      </c>
    </row>
    <row r="231" spans="1:2" x14ac:dyDescent="0.25">
      <c r="A231" s="59" t="s">
        <v>83</v>
      </c>
      <c r="B231" s="2">
        <f t="shared" si="3"/>
        <v>1</v>
      </c>
    </row>
    <row r="232" spans="1:2" ht="29.25" x14ac:dyDescent="0.25">
      <c r="A232" s="59" t="s">
        <v>84</v>
      </c>
      <c r="B232" s="2">
        <f t="shared" si="3"/>
        <v>2</v>
      </c>
    </row>
    <row r="233" spans="1:2" x14ac:dyDescent="0.25">
      <c r="A233" s="63" t="s">
        <v>697</v>
      </c>
      <c r="B233" s="2">
        <f t="shared" si="3"/>
        <v>2</v>
      </c>
    </row>
    <row r="234" spans="1:2" x14ac:dyDescent="0.25">
      <c r="A234" s="59" t="s">
        <v>85</v>
      </c>
      <c r="B234" s="2">
        <f t="shared" si="3"/>
        <v>1</v>
      </c>
    </row>
    <row r="235" spans="1:2" x14ac:dyDescent="0.25">
      <c r="A235" s="58" t="s">
        <v>42</v>
      </c>
      <c r="B235" s="2">
        <f t="shared" si="3"/>
        <v>1</v>
      </c>
    </row>
    <row r="236" spans="1:2" ht="29.25" x14ac:dyDescent="0.25">
      <c r="A236" s="58" t="s">
        <v>86</v>
      </c>
      <c r="B236" s="2">
        <f t="shared" si="3"/>
        <v>1</v>
      </c>
    </row>
    <row r="237" spans="1:2" x14ac:dyDescent="0.25">
      <c r="A237" s="60" t="s">
        <v>758</v>
      </c>
      <c r="B237" s="2">
        <f t="shared" si="3"/>
        <v>1</v>
      </c>
    </row>
    <row r="238" spans="1:2" x14ac:dyDescent="0.25">
      <c r="A238" s="59" t="s">
        <v>87</v>
      </c>
      <c r="B238" s="2">
        <f t="shared" si="3"/>
        <v>1</v>
      </c>
    </row>
    <row r="239" spans="1:2" ht="29.25" x14ac:dyDescent="0.25">
      <c r="A239" s="58" t="s">
        <v>88</v>
      </c>
      <c r="B239" s="2">
        <f t="shared" si="3"/>
        <v>2</v>
      </c>
    </row>
    <row r="240" spans="1:2" x14ac:dyDescent="0.25">
      <c r="A240" s="58" t="s">
        <v>89</v>
      </c>
      <c r="B240" s="2">
        <f t="shared" si="3"/>
        <v>3</v>
      </c>
    </row>
    <row r="241" spans="1:2" x14ac:dyDescent="0.25">
      <c r="A241" s="58" t="s">
        <v>43</v>
      </c>
      <c r="B241" s="2">
        <f t="shared" si="3"/>
        <v>1</v>
      </c>
    </row>
    <row r="242" spans="1:2" x14ac:dyDescent="0.25">
      <c r="A242" s="58" t="s">
        <v>90</v>
      </c>
      <c r="B242" s="2">
        <f t="shared" si="3"/>
        <v>3</v>
      </c>
    </row>
    <row r="243" spans="1:2" x14ac:dyDescent="0.25">
      <c r="A243" s="58" t="s">
        <v>91</v>
      </c>
      <c r="B243" s="2">
        <f t="shared" si="3"/>
        <v>2</v>
      </c>
    </row>
    <row r="244" spans="1:2" x14ac:dyDescent="0.25">
      <c r="A244" s="58" t="s">
        <v>92</v>
      </c>
      <c r="B244" s="2">
        <f t="shared" si="3"/>
        <v>1</v>
      </c>
    </row>
    <row r="245" spans="1:2" x14ac:dyDescent="0.25">
      <c r="A245" s="58" t="s">
        <v>44</v>
      </c>
      <c r="B245" s="2">
        <f t="shared" si="3"/>
        <v>1</v>
      </c>
    </row>
    <row r="246" spans="1:2" x14ac:dyDescent="0.25">
      <c r="A246" s="58" t="s">
        <v>45</v>
      </c>
      <c r="B246" s="2">
        <f t="shared" si="3"/>
        <v>1</v>
      </c>
    </row>
    <row r="247" spans="1:2" x14ac:dyDescent="0.25">
      <c r="A247" s="58" t="s">
        <v>93</v>
      </c>
      <c r="B247" s="2">
        <f t="shared" si="3"/>
        <v>1</v>
      </c>
    </row>
    <row r="248" spans="1:2" ht="29.25" x14ac:dyDescent="0.25">
      <c r="A248" s="58" t="s">
        <v>94</v>
      </c>
      <c r="B248" s="2">
        <f t="shared" si="3"/>
        <v>7</v>
      </c>
    </row>
    <row r="249" spans="1:2" x14ac:dyDescent="0.25">
      <c r="A249" s="60" t="s">
        <v>759</v>
      </c>
      <c r="B249" s="2">
        <f t="shared" si="3"/>
        <v>1</v>
      </c>
    </row>
    <row r="250" spans="1:2" x14ac:dyDescent="0.25">
      <c r="A250" s="60" t="s">
        <v>760</v>
      </c>
      <c r="B250" s="2">
        <f t="shared" si="3"/>
        <v>1</v>
      </c>
    </row>
    <row r="251" spans="1:2" x14ac:dyDescent="0.25">
      <c r="A251" s="62" t="s">
        <v>46</v>
      </c>
      <c r="B251" s="2">
        <f t="shared" si="3"/>
        <v>3</v>
      </c>
    </row>
    <row r="252" spans="1:2" x14ac:dyDescent="0.25">
      <c r="A252" s="58" t="s">
        <v>95</v>
      </c>
      <c r="B252" s="2">
        <f t="shared" si="3"/>
        <v>1</v>
      </c>
    </row>
    <row r="253" spans="1:2" x14ac:dyDescent="0.25">
      <c r="A253" s="58" t="s">
        <v>47</v>
      </c>
      <c r="B253" s="2">
        <f t="shared" si="3"/>
        <v>1</v>
      </c>
    </row>
    <row r="254" spans="1:2" ht="29.25" x14ac:dyDescent="0.25">
      <c r="A254" s="60" t="s">
        <v>761</v>
      </c>
      <c r="B254" s="2">
        <f t="shared" si="3"/>
        <v>1</v>
      </c>
    </row>
    <row r="255" spans="1:2" ht="29.25" x14ac:dyDescent="0.25">
      <c r="A255" s="58" t="s">
        <v>48</v>
      </c>
      <c r="B255" s="2">
        <f t="shared" si="3"/>
        <v>2</v>
      </c>
    </row>
    <row r="256" spans="1:2" x14ac:dyDescent="0.25">
      <c r="A256" s="60" t="s">
        <v>762</v>
      </c>
      <c r="B256" s="2">
        <f t="shared" si="3"/>
        <v>1</v>
      </c>
    </row>
    <row r="257" spans="1:2" x14ac:dyDescent="0.25">
      <c r="A257" s="58" t="s">
        <v>49</v>
      </c>
      <c r="B257" s="2">
        <f t="shared" si="3"/>
        <v>1</v>
      </c>
    </row>
    <row r="258" spans="1:2" x14ac:dyDescent="0.25">
      <c r="A258" s="65" t="s">
        <v>96</v>
      </c>
      <c r="B258" s="2">
        <f t="shared" si="3"/>
        <v>1</v>
      </c>
    </row>
    <row r="259" spans="1:2" x14ac:dyDescent="0.25">
      <c r="A259" s="60" t="s">
        <v>763</v>
      </c>
      <c r="B259" s="2">
        <f t="shared" ref="B259:B322" si="4">COUNTIF($A:$A,A259)</f>
        <v>1</v>
      </c>
    </row>
    <row r="260" spans="1:2" x14ac:dyDescent="0.25">
      <c r="A260" s="58" t="s">
        <v>50</v>
      </c>
      <c r="B260" s="2">
        <f t="shared" si="4"/>
        <v>1</v>
      </c>
    </row>
    <row r="261" spans="1:2" x14ac:dyDescent="0.25">
      <c r="A261" s="66" t="s">
        <v>97</v>
      </c>
      <c r="B261" s="2">
        <f t="shared" si="4"/>
        <v>1</v>
      </c>
    </row>
    <row r="262" spans="1:2" x14ac:dyDescent="0.25">
      <c r="A262" s="60" t="s">
        <v>488</v>
      </c>
      <c r="B262" s="2">
        <f t="shared" si="4"/>
        <v>2</v>
      </c>
    </row>
    <row r="263" spans="1:2" x14ac:dyDescent="0.25">
      <c r="A263" s="60" t="s">
        <v>764</v>
      </c>
      <c r="B263" s="2">
        <f t="shared" si="4"/>
        <v>1</v>
      </c>
    </row>
    <row r="264" spans="1:2" x14ac:dyDescent="0.25">
      <c r="A264" s="60" t="s">
        <v>212</v>
      </c>
      <c r="B264" s="2">
        <f t="shared" si="4"/>
        <v>1</v>
      </c>
    </row>
    <row r="265" spans="1:2" x14ac:dyDescent="0.25">
      <c r="A265" s="61" t="s">
        <v>213</v>
      </c>
      <c r="B265" s="2">
        <f t="shared" si="4"/>
        <v>1</v>
      </c>
    </row>
    <row r="266" spans="1:2" x14ac:dyDescent="0.25">
      <c r="A266" s="60" t="s">
        <v>214</v>
      </c>
      <c r="B266" s="2">
        <f t="shared" si="4"/>
        <v>1</v>
      </c>
    </row>
    <row r="267" spans="1:2" x14ac:dyDescent="0.25">
      <c r="A267" s="67" t="s">
        <v>215</v>
      </c>
      <c r="B267" s="2">
        <f t="shared" si="4"/>
        <v>1</v>
      </c>
    </row>
    <row r="268" spans="1:2" x14ac:dyDescent="0.25">
      <c r="A268" s="61" t="s">
        <v>216</v>
      </c>
      <c r="B268" s="2">
        <f t="shared" si="4"/>
        <v>1</v>
      </c>
    </row>
    <row r="269" spans="1:2" x14ac:dyDescent="0.25">
      <c r="A269" s="60" t="s">
        <v>217</v>
      </c>
      <c r="B269" s="2">
        <f t="shared" si="4"/>
        <v>2</v>
      </c>
    </row>
    <row r="270" spans="1:2" x14ac:dyDescent="0.25">
      <c r="A270" s="60" t="s">
        <v>218</v>
      </c>
      <c r="B270" s="2">
        <f t="shared" si="4"/>
        <v>1</v>
      </c>
    </row>
    <row r="271" spans="1:2" x14ac:dyDescent="0.25">
      <c r="A271" s="68" t="s">
        <v>219</v>
      </c>
      <c r="B271" s="2">
        <f t="shared" si="4"/>
        <v>1</v>
      </c>
    </row>
    <row r="272" spans="1:2" ht="15.75" x14ac:dyDescent="0.25">
      <c r="A272" s="69" t="s">
        <v>54</v>
      </c>
      <c r="B272" s="2">
        <f t="shared" si="4"/>
        <v>5</v>
      </c>
    </row>
    <row r="273" spans="1:2" x14ac:dyDescent="0.25">
      <c r="A273" s="60" t="s">
        <v>102</v>
      </c>
      <c r="B273" s="2">
        <f t="shared" si="4"/>
        <v>3</v>
      </c>
    </row>
    <row r="274" spans="1:2" x14ac:dyDescent="0.25">
      <c r="A274" s="60" t="s">
        <v>220</v>
      </c>
      <c r="B274" s="2">
        <f t="shared" si="4"/>
        <v>1</v>
      </c>
    </row>
    <row r="275" spans="1:2" x14ac:dyDescent="0.25">
      <c r="A275" s="63" t="s">
        <v>55</v>
      </c>
      <c r="B275" s="2">
        <f t="shared" si="4"/>
        <v>2</v>
      </c>
    </row>
    <row r="276" spans="1:2" ht="15.75" x14ac:dyDescent="0.25">
      <c r="A276" s="69" t="s">
        <v>314</v>
      </c>
      <c r="B276" s="2">
        <f t="shared" si="4"/>
        <v>1</v>
      </c>
    </row>
    <row r="277" spans="1:2" x14ac:dyDescent="0.25">
      <c r="A277" s="60" t="s">
        <v>221</v>
      </c>
      <c r="B277" s="2">
        <f t="shared" si="4"/>
        <v>1</v>
      </c>
    </row>
    <row r="278" spans="1:2" ht="30.75" x14ac:dyDescent="0.25">
      <c r="A278" s="69" t="s">
        <v>315</v>
      </c>
      <c r="B278" s="2">
        <f t="shared" si="4"/>
        <v>1</v>
      </c>
    </row>
    <row r="279" spans="1:2" x14ac:dyDescent="0.25">
      <c r="A279" s="60" t="s">
        <v>348</v>
      </c>
      <c r="B279" s="2">
        <f t="shared" si="4"/>
        <v>1</v>
      </c>
    </row>
    <row r="280" spans="1:2" x14ac:dyDescent="0.25">
      <c r="A280" s="60" t="s">
        <v>222</v>
      </c>
      <c r="B280" s="2">
        <f t="shared" si="4"/>
        <v>1</v>
      </c>
    </row>
    <row r="281" spans="1:2" x14ac:dyDescent="0.25">
      <c r="A281" s="60" t="s">
        <v>223</v>
      </c>
      <c r="B281" s="2">
        <f t="shared" si="4"/>
        <v>1</v>
      </c>
    </row>
    <row r="282" spans="1:2" ht="15.75" x14ac:dyDescent="0.25">
      <c r="A282" s="70" t="s">
        <v>316</v>
      </c>
      <c r="B282" s="2">
        <f t="shared" si="4"/>
        <v>1</v>
      </c>
    </row>
    <row r="283" spans="1:2" ht="15.75" x14ac:dyDescent="0.25">
      <c r="A283" s="69" t="s">
        <v>317</v>
      </c>
      <c r="B283" s="2">
        <f t="shared" si="4"/>
        <v>1</v>
      </c>
    </row>
    <row r="284" spans="1:2" x14ac:dyDescent="0.25">
      <c r="A284" s="63" t="s">
        <v>179</v>
      </c>
      <c r="B284" s="2">
        <f t="shared" si="4"/>
        <v>2</v>
      </c>
    </row>
    <row r="285" spans="1:2" ht="15.75" x14ac:dyDescent="0.25">
      <c r="A285" s="70" t="s">
        <v>318</v>
      </c>
      <c r="B285" s="2">
        <f t="shared" si="4"/>
        <v>1</v>
      </c>
    </row>
    <row r="286" spans="1:2" x14ac:dyDescent="0.25">
      <c r="A286" s="63" t="s">
        <v>224</v>
      </c>
      <c r="B286" s="2">
        <f t="shared" si="4"/>
        <v>2</v>
      </c>
    </row>
    <row r="287" spans="1:2" ht="15.75" x14ac:dyDescent="0.25">
      <c r="A287" s="69" t="s">
        <v>319</v>
      </c>
      <c r="B287" s="2">
        <f t="shared" si="4"/>
        <v>1</v>
      </c>
    </row>
    <row r="288" spans="1:2" x14ac:dyDescent="0.25">
      <c r="A288" s="60" t="s">
        <v>225</v>
      </c>
      <c r="B288" s="2">
        <f t="shared" si="4"/>
        <v>2</v>
      </c>
    </row>
    <row r="289" spans="1:2" x14ac:dyDescent="0.25">
      <c r="A289" s="63" t="s">
        <v>226</v>
      </c>
      <c r="B289" s="2">
        <f t="shared" si="4"/>
        <v>2</v>
      </c>
    </row>
    <row r="290" spans="1:2" x14ac:dyDescent="0.25">
      <c r="A290" s="60" t="s">
        <v>227</v>
      </c>
      <c r="B290" s="2">
        <f t="shared" si="4"/>
        <v>1</v>
      </c>
    </row>
    <row r="291" spans="1:2" ht="15.75" x14ac:dyDescent="0.25">
      <c r="A291" s="71" t="s">
        <v>10</v>
      </c>
      <c r="B291" s="2">
        <f t="shared" si="4"/>
        <v>2</v>
      </c>
    </row>
    <row r="292" spans="1:2" ht="29.25" x14ac:dyDescent="0.25">
      <c r="A292" s="61" t="s">
        <v>228</v>
      </c>
      <c r="B292" s="2">
        <f t="shared" si="4"/>
        <v>1</v>
      </c>
    </row>
    <row r="293" spans="1:2" x14ac:dyDescent="0.25">
      <c r="A293" s="68" t="s">
        <v>181</v>
      </c>
      <c r="B293" s="2">
        <f t="shared" si="4"/>
        <v>5</v>
      </c>
    </row>
    <row r="294" spans="1:2" x14ac:dyDescent="0.25">
      <c r="A294" s="60" t="s">
        <v>229</v>
      </c>
      <c r="B294" s="2">
        <f t="shared" si="4"/>
        <v>1</v>
      </c>
    </row>
    <row r="295" spans="1:2" ht="45.75" x14ac:dyDescent="0.25">
      <c r="A295" s="72" t="s">
        <v>320</v>
      </c>
      <c r="B295" s="2">
        <f t="shared" si="4"/>
        <v>1</v>
      </c>
    </row>
    <row r="296" spans="1:2" x14ac:dyDescent="0.25">
      <c r="A296" s="60" t="s">
        <v>185</v>
      </c>
      <c r="B296" s="2">
        <f t="shared" si="4"/>
        <v>4</v>
      </c>
    </row>
    <row r="297" spans="1:2" ht="30.75" x14ac:dyDescent="0.25">
      <c r="A297" s="69" t="s">
        <v>321</v>
      </c>
      <c r="B297" s="2">
        <f t="shared" si="4"/>
        <v>1</v>
      </c>
    </row>
    <row r="298" spans="1:2" ht="15.75" x14ac:dyDescent="0.25">
      <c r="A298" s="71" t="s">
        <v>322</v>
      </c>
      <c r="B298" s="2">
        <f t="shared" si="4"/>
        <v>2</v>
      </c>
    </row>
    <row r="299" spans="1:2" ht="15.75" x14ac:dyDescent="0.25">
      <c r="A299" s="69" t="s">
        <v>323</v>
      </c>
      <c r="B299" s="2">
        <f t="shared" si="4"/>
        <v>1</v>
      </c>
    </row>
    <row r="300" spans="1:2" ht="15.75" x14ac:dyDescent="0.25">
      <c r="A300" s="69" t="s">
        <v>324</v>
      </c>
      <c r="B300" s="2">
        <f t="shared" si="4"/>
        <v>1</v>
      </c>
    </row>
    <row r="301" spans="1:2" x14ac:dyDescent="0.25">
      <c r="A301" s="67" t="s">
        <v>230</v>
      </c>
      <c r="B301" s="2">
        <f t="shared" si="4"/>
        <v>2</v>
      </c>
    </row>
    <row r="302" spans="1:2" x14ac:dyDescent="0.25">
      <c r="A302" s="67" t="s">
        <v>231</v>
      </c>
      <c r="B302" s="2">
        <f t="shared" si="4"/>
        <v>2</v>
      </c>
    </row>
    <row r="303" spans="1:2" ht="15.75" x14ac:dyDescent="0.25">
      <c r="A303" s="69" t="s">
        <v>325</v>
      </c>
      <c r="B303" s="2">
        <f t="shared" si="4"/>
        <v>2</v>
      </c>
    </row>
    <row r="304" spans="1:2" ht="29.25" x14ac:dyDescent="0.25">
      <c r="A304" s="61" t="s">
        <v>232</v>
      </c>
      <c r="B304" s="2">
        <f t="shared" si="4"/>
        <v>1</v>
      </c>
    </row>
    <row r="305" spans="1:2" x14ac:dyDescent="0.25">
      <c r="A305" s="60" t="s">
        <v>233</v>
      </c>
      <c r="B305" s="2">
        <f t="shared" si="4"/>
        <v>2</v>
      </c>
    </row>
    <row r="306" spans="1:2" x14ac:dyDescent="0.25">
      <c r="A306" s="60" t="s">
        <v>110</v>
      </c>
      <c r="B306" s="2">
        <f t="shared" si="4"/>
        <v>2</v>
      </c>
    </row>
    <row r="307" spans="1:2" x14ac:dyDescent="0.25">
      <c r="A307" s="60" t="s">
        <v>234</v>
      </c>
      <c r="B307" s="2">
        <f t="shared" si="4"/>
        <v>2</v>
      </c>
    </row>
    <row r="308" spans="1:2" ht="43.5" x14ac:dyDescent="0.25">
      <c r="A308" s="60" t="s">
        <v>235</v>
      </c>
      <c r="B308" s="2">
        <f t="shared" si="4"/>
        <v>1</v>
      </c>
    </row>
    <row r="309" spans="1:2" x14ac:dyDescent="0.25">
      <c r="A309" s="68" t="s">
        <v>349</v>
      </c>
      <c r="B309" s="2">
        <f t="shared" si="4"/>
        <v>1</v>
      </c>
    </row>
    <row r="310" spans="1:2" x14ac:dyDescent="0.25">
      <c r="A310" s="60" t="s">
        <v>236</v>
      </c>
      <c r="B310" s="2">
        <f t="shared" si="4"/>
        <v>1</v>
      </c>
    </row>
    <row r="311" spans="1:2" ht="15.75" x14ac:dyDescent="0.25">
      <c r="A311" s="71" t="s">
        <v>326</v>
      </c>
      <c r="B311" s="2">
        <f t="shared" si="4"/>
        <v>1</v>
      </c>
    </row>
    <row r="312" spans="1:2" ht="29.25" x14ac:dyDescent="0.25">
      <c r="A312" s="60" t="s">
        <v>237</v>
      </c>
      <c r="B312" s="2">
        <f t="shared" si="4"/>
        <v>1</v>
      </c>
    </row>
    <row r="313" spans="1:2" x14ac:dyDescent="0.25">
      <c r="A313" s="60" t="s">
        <v>238</v>
      </c>
      <c r="B313" s="2">
        <f t="shared" si="4"/>
        <v>1</v>
      </c>
    </row>
    <row r="314" spans="1:2" x14ac:dyDescent="0.25">
      <c r="A314" s="60" t="s">
        <v>239</v>
      </c>
      <c r="B314" s="2">
        <f t="shared" si="4"/>
        <v>1</v>
      </c>
    </row>
    <row r="315" spans="1:2" x14ac:dyDescent="0.25">
      <c r="A315" s="60" t="s">
        <v>240</v>
      </c>
      <c r="B315" s="2">
        <f t="shared" si="4"/>
        <v>1</v>
      </c>
    </row>
    <row r="316" spans="1:2" ht="15.75" x14ac:dyDescent="0.25">
      <c r="A316" s="69" t="s">
        <v>327</v>
      </c>
      <c r="B316" s="2">
        <f t="shared" si="4"/>
        <v>1</v>
      </c>
    </row>
    <row r="317" spans="1:2" x14ac:dyDescent="0.25">
      <c r="A317" s="63" t="s">
        <v>350</v>
      </c>
      <c r="B317" s="2">
        <f t="shared" si="4"/>
        <v>1</v>
      </c>
    </row>
    <row r="318" spans="1:2" ht="30.75" x14ac:dyDescent="0.25">
      <c r="A318" s="69" t="s">
        <v>328</v>
      </c>
      <c r="B318" s="2">
        <f t="shared" si="4"/>
        <v>1</v>
      </c>
    </row>
    <row r="319" spans="1:2" x14ac:dyDescent="0.25">
      <c r="A319" s="60" t="s">
        <v>241</v>
      </c>
      <c r="B319" s="2">
        <f t="shared" si="4"/>
        <v>1</v>
      </c>
    </row>
    <row r="320" spans="1:2" x14ac:dyDescent="0.25">
      <c r="A320" s="60" t="s">
        <v>242</v>
      </c>
      <c r="B320" s="2">
        <f t="shared" si="4"/>
        <v>1</v>
      </c>
    </row>
    <row r="321" spans="1:2" x14ac:dyDescent="0.25">
      <c r="A321" s="60" t="s">
        <v>23</v>
      </c>
      <c r="B321" s="2">
        <f t="shared" si="4"/>
        <v>2</v>
      </c>
    </row>
    <row r="322" spans="1:2" x14ac:dyDescent="0.25">
      <c r="A322" s="61" t="s">
        <v>243</v>
      </c>
      <c r="B322" s="2">
        <f t="shared" si="4"/>
        <v>1</v>
      </c>
    </row>
    <row r="323" spans="1:2" x14ac:dyDescent="0.25">
      <c r="A323" s="68" t="s">
        <v>244</v>
      </c>
      <c r="B323" s="2">
        <f t="shared" ref="B323:B386" si="5">COUNTIF($A:$A,A323)</f>
        <v>1</v>
      </c>
    </row>
    <row r="324" spans="1:2" x14ac:dyDescent="0.25">
      <c r="A324" s="67" t="s">
        <v>245</v>
      </c>
      <c r="B324" s="2">
        <f t="shared" si="5"/>
        <v>2</v>
      </c>
    </row>
    <row r="325" spans="1:2" x14ac:dyDescent="0.25">
      <c r="A325" s="73" t="s">
        <v>246</v>
      </c>
      <c r="B325" s="2">
        <f t="shared" si="5"/>
        <v>1</v>
      </c>
    </row>
    <row r="326" spans="1:2" x14ac:dyDescent="0.25">
      <c r="A326" s="74" t="s">
        <v>247</v>
      </c>
      <c r="B326" s="2">
        <f t="shared" si="5"/>
        <v>1</v>
      </c>
    </row>
    <row r="327" spans="1:2" x14ac:dyDescent="0.25">
      <c r="A327" s="60" t="s">
        <v>248</v>
      </c>
      <c r="B327" s="2">
        <f t="shared" si="5"/>
        <v>1</v>
      </c>
    </row>
    <row r="328" spans="1:2" ht="29.25" x14ac:dyDescent="0.25">
      <c r="A328" s="61" t="s">
        <v>249</v>
      </c>
      <c r="B328" s="2">
        <f t="shared" si="5"/>
        <v>1</v>
      </c>
    </row>
    <row r="329" spans="1:2" ht="15.75" x14ac:dyDescent="0.25">
      <c r="A329" s="70" t="s">
        <v>329</v>
      </c>
      <c r="B329" s="2">
        <f t="shared" si="5"/>
        <v>2</v>
      </c>
    </row>
    <row r="330" spans="1:2" x14ac:dyDescent="0.25">
      <c r="A330" s="68" t="s">
        <v>250</v>
      </c>
      <c r="B330" s="2">
        <f t="shared" si="5"/>
        <v>1</v>
      </c>
    </row>
    <row r="331" spans="1:2" x14ac:dyDescent="0.25">
      <c r="A331" s="60" t="s">
        <v>251</v>
      </c>
      <c r="B331" s="2">
        <f t="shared" si="5"/>
        <v>1</v>
      </c>
    </row>
    <row r="332" spans="1:2" x14ac:dyDescent="0.25">
      <c r="A332" s="60" t="s">
        <v>252</v>
      </c>
      <c r="B332" s="2">
        <f t="shared" si="5"/>
        <v>1</v>
      </c>
    </row>
    <row r="333" spans="1:2" x14ac:dyDescent="0.25">
      <c r="A333" s="60" t="s">
        <v>253</v>
      </c>
      <c r="B333" s="2">
        <f t="shared" si="5"/>
        <v>2</v>
      </c>
    </row>
    <row r="334" spans="1:2" x14ac:dyDescent="0.25">
      <c r="A334" s="60" t="s">
        <v>253</v>
      </c>
      <c r="B334" s="2">
        <f t="shared" si="5"/>
        <v>2</v>
      </c>
    </row>
    <row r="335" spans="1:2" x14ac:dyDescent="0.25">
      <c r="A335" s="60" t="s">
        <v>254</v>
      </c>
      <c r="B335" s="2">
        <f t="shared" si="5"/>
        <v>2</v>
      </c>
    </row>
    <row r="336" spans="1:2" ht="15.75" x14ac:dyDescent="0.25">
      <c r="A336" s="75" t="s">
        <v>330</v>
      </c>
      <c r="B336" s="2">
        <f t="shared" si="5"/>
        <v>1</v>
      </c>
    </row>
    <row r="337" spans="1:2" x14ac:dyDescent="0.25">
      <c r="A337" s="73" t="s">
        <v>255</v>
      </c>
      <c r="B337" s="2">
        <f t="shared" si="5"/>
        <v>2</v>
      </c>
    </row>
    <row r="338" spans="1:2" x14ac:dyDescent="0.25">
      <c r="A338" s="60" t="s">
        <v>256</v>
      </c>
      <c r="B338" s="2">
        <f t="shared" si="5"/>
        <v>1</v>
      </c>
    </row>
    <row r="339" spans="1:2" x14ac:dyDescent="0.25">
      <c r="A339" s="60" t="s">
        <v>257</v>
      </c>
      <c r="B339" s="2">
        <f t="shared" si="5"/>
        <v>1</v>
      </c>
    </row>
    <row r="340" spans="1:2" x14ac:dyDescent="0.25">
      <c r="A340" s="60" t="s">
        <v>70</v>
      </c>
      <c r="B340" s="2">
        <f t="shared" si="5"/>
        <v>2</v>
      </c>
    </row>
    <row r="341" spans="1:2" x14ac:dyDescent="0.25">
      <c r="A341" s="60" t="s">
        <v>258</v>
      </c>
      <c r="B341" s="2">
        <f t="shared" si="5"/>
        <v>1</v>
      </c>
    </row>
    <row r="342" spans="1:2" ht="15.75" x14ac:dyDescent="0.25">
      <c r="A342" s="69" t="s">
        <v>331</v>
      </c>
      <c r="B342" s="2">
        <f t="shared" si="5"/>
        <v>1</v>
      </c>
    </row>
    <row r="343" spans="1:2" ht="15.75" x14ac:dyDescent="0.25">
      <c r="A343" s="69" t="s">
        <v>332</v>
      </c>
      <c r="B343" s="2">
        <f t="shared" si="5"/>
        <v>1</v>
      </c>
    </row>
    <row r="344" spans="1:2" x14ac:dyDescent="0.25">
      <c r="A344" s="60" t="s">
        <v>128</v>
      </c>
      <c r="B344" s="2">
        <f t="shared" si="5"/>
        <v>4</v>
      </c>
    </row>
    <row r="345" spans="1:2" x14ac:dyDescent="0.25">
      <c r="A345" s="60" t="s">
        <v>259</v>
      </c>
      <c r="B345" s="2">
        <f t="shared" si="5"/>
        <v>1</v>
      </c>
    </row>
    <row r="346" spans="1:2" x14ac:dyDescent="0.25">
      <c r="A346" s="63" t="s">
        <v>260</v>
      </c>
      <c r="B346" s="2">
        <f t="shared" si="5"/>
        <v>1</v>
      </c>
    </row>
    <row r="347" spans="1:2" x14ac:dyDescent="0.25">
      <c r="A347" s="61" t="s">
        <v>261</v>
      </c>
      <c r="B347" s="2">
        <f t="shared" si="5"/>
        <v>1</v>
      </c>
    </row>
    <row r="348" spans="1:2" x14ac:dyDescent="0.25">
      <c r="A348" s="60" t="s">
        <v>194</v>
      </c>
      <c r="B348" s="2">
        <f t="shared" si="5"/>
        <v>3</v>
      </c>
    </row>
    <row r="349" spans="1:2" x14ac:dyDescent="0.25">
      <c r="A349" s="61" t="s">
        <v>262</v>
      </c>
      <c r="B349" s="2">
        <f t="shared" si="5"/>
        <v>1</v>
      </c>
    </row>
    <row r="350" spans="1:2" ht="15.75" x14ac:dyDescent="0.25">
      <c r="A350" s="69" t="s">
        <v>333</v>
      </c>
      <c r="B350" s="2">
        <f t="shared" si="5"/>
        <v>2</v>
      </c>
    </row>
    <row r="351" spans="1:2" x14ac:dyDescent="0.25">
      <c r="A351" s="60" t="s">
        <v>263</v>
      </c>
      <c r="B351" s="2">
        <f t="shared" si="5"/>
        <v>1</v>
      </c>
    </row>
    <row r="352" spans="1:2" x14ac:dyDescent="0.25">
      <c r="A352" s="60" t="s">
        <v>264</v>
      </c>
      <c r="B352" s="2">
        <f t="shared" si="5"/>
        <v>1</v>
      </c>
    </row>
    <row r="353" spans="1:2" ht="15.75" x14ac:dyDescent="0.25">
      <c r="A353" s="70" t="s">
        <v>334</v>
      </c>
      <c r="B353" s="2">
        <f t="shared" si="5"/>
        <v>1</v>
      </c>
    </row>
    <row r="354" spans="1:2" ht="15.75" x14ac:dyDescent="0.25">
      <c r="A354" s="69" t="s">
        <v>335</v>
      </c>
      <c r="B354" s="2">
        <f t="shared" si="5"/>
        <v>1</v>
      </c>
    </row>
    <row r="355" spans="1:2" x14ac:dyDescent="0.25">
      <c r="A355" s="60" t="s">
        <v>265</v>
      </c>
      <c r="B355" s="2">
        <f t="shared" si="5"/>
        <v>2</v>
      </c>
    </row>
    <row r="356" spans="1:2" x14ac:dyDescent="0.25">
      <c r="A356" s="60" t="s">
        <v>266</v>
      </c>
      <c r="B356" s="2">
        <f t="shared" si="5"/>
        <v>1</v>
      </c>
    </row>
    <row r="357" spans="1:2" ht="15.75" x14ac:dyDescent="0.25">
      <c r="A357" s="69" t="s">
        <v>336</v>
      </c>
      <c r="B357" s="2">
        <f t="shared" si="5"/>
        <v>3</v>
      </c>
    </row>
    <row r="358" spans="1:2" ht="15.75" x14ac:dyDescent="0.25">
      <c r="A358" s="70" t="s">
        <v>132</v>
      </c>
      <c r="B358" s="2">
        <f t="shared" si="5"/>
        <v>2</v>
      </c>
    </row>
    <row r="359" spans="1:2" ht="15.75" x14ac:dyDescent="0.25">
      <c r="A359" s="69" t="s">
        <v>337</v>
      </c>
      <c r="B359" s="2">
        <f t="shared" si="5"/>
        <v>1</v>
      </c>
    </row>
    <row r="360" spans="1:2" x14ac:dyDescent="0.25">
      <c r="A360" s="60" t="s">
        <v>267</v>
      </c>
      <c r="B360" s="2">
        <f t="shared" si="5"/>
        <v>1</v>
      </c>
    </row>
    <row r="361" spans="1:2" ht="15.75" x14ac:dyDescent="0.25">
      <c r="A361" s="76" t="s">
        <v>35</v>
      </c>
      <c r="B361" s="2">
        <f t="shared" si="5"/>
        <v>2</v>
      </c>
    </row>
    <row r="362" spans="1:2" x14ac:dyDescent="0.25">
      <c r="A362" s="73" t="s">
        <v>268</v>
      </c>
      <c r="B362" s="2">
        <f t="shared" si="5"/>
        <v>1</v>
      </c>
    </row>
    <row r="363" spans="1:2" x14ac:dyDescent="0.25">
      <c r="A363" s="60" t="s">
        <v>269</v>
      </c>
      <c r="B363" s="2">
        <f t="shared" si="5"/>
        <v>1</v>
      </c>
    </row>
    <row r="364" spans="1:2" x14ac:dyDescent="0.25">
      <c r="A364" s="60" t="s">
        <v>270</v>
      </c>
      <c r="B364" s="2">
        <f t="shared" si="5"/>
        <v>1</v>
      </c>
    </row>
    <row r="365" spans="1:2" x14ac:dyDescent="0.25">
      <c r="A365" s="60" t="s">
        <v>271</v>
      </c>
      <c r="B365" s="2">
        <f t="shared" si="5"/>
        <v>1</v>
      </c>
    </row>
    <row r="366" spans="1:2" x14ac:dyDescent="0.25">
      <c r="A366" s="60" t="s">
        <v>76</v>
      </c>
      <c r="B366" s="2">
        <f t="shared" si="5"/>
        <v>2</v>
      </c>
    </row>
    <row r="367" spans="1:2" x14ac:dyDescent="0.25">
      <c r="A367" s="61" t="s">
        <v>272</v>
      </c>
      <c r="B367" s="2">
        <f t="shared" si="5"/>
        <v>1</v>
      </c>
    </row>
    <row r="368" spans="1:2" x14ac:dyDescent="0.25">
      <c r="A368" s="60" t="s">
        <v>273</v>
      </c>
      <c r="B368" s="2">
        <f t="shared" si="5"/>
        <v>2</v>
      </c>
    </row>
    <row r="369" spans="1:2" ht="15.75" x14ac:dyDescent="0.25">
      <c r="A369" s="69" t="s">
        <v>273</v>
      </c>
      <c r="B369" s="2">
        <f t="shared" si="5"/>
        <v>2</v>
      </c>
    </row>
    <row r="370" spans="1:2" x14ac:dyDescent="0.25">
      <c r="A370" s="63" t="s">
        <v>274</v>
      </c>
      <c r="B370" s="2">
        <f t="shared" si="5"/>
        <v>3</v>
      </c>
    </row>
    <row r="371" spans="1:2" ht="15.75" x14ac:dyDescent="0.25">
      <c r="A371" s="69" t="s">
        <v>338</v>
      </c>
      <c r="B371" s="2">
        <f t="shared" si="5"/>
        <v>1</v>
      </c>
    </row>
    <row r="372" spans="1:2" x14ac:dyDescent="0.25">
      <c r="A372" s="73" t="s">
        <v>275</v>
      </c>
      <c r="B372" s="2">
        <f t="shared" si="5"/>
        <v>1</v>
      </c>
    </row>
    <row r="373" spans="1:2" ht="29.25" x14ac:dyDescent="0.25">
      <c r="A373" s="60" t="s">
        <v>276</v>
      </c>
      <c r="B373" s="2">
        <f t="shared" si="5"/>
        <v>1</v>
      </c>
    </row>
    <row r="374" spans="1:2" ht="15.75" x14ac:dyDescent="0.25">
      <c r="A374" s="69" t="s">
        <v>339</v>
      </c>
      <c r="B374" s="2">
        <f t="shared" si="5"/>
        <v>1</v>
      </c>
    </row>
    <row r="375" spans="1:2" x14ac:dyDescent="0.25">
      <c r="A375" s="63" t="s">
        <v>277</v>
      </c>
      <c r="B375" s="2">
        <f t="shared" si="5"/>
        <v>1</v>
      </c>
    </row>
    <row r="376" spans="1:2" x14ac:dyDescent="0.25">
      <c r="A376" s="60" t="s">
        <v>278</v>
      </c>
      <c r="B376" s="2">
        <f t="shared" si="5"/>
        <v>2</v>
      </c>
    </row>
    <row r="377" spans="1:2" x14ac:dyDescent="0.25">
      <c r="A377" s="68" t="s">
        <v>279</v>
      </c>
      <c r="B377" s="2">
        <f t="shared" si="5"/>
        <v>3</v>
      </c>
    </row>
    <row r="378" spans="1:2" x14ac:dyDescent="0.25">
      <c r="A378" s="60" t="s">
        <v>280</v>
      </c>
      <c r="B378" s="2">
        <f t="shared" si="5"/>
        <v>2</v>
      </c>
    </row>
    <row r="379" spans="1:2" x14ac:dyDescent="0.25">
      <c r="A379" s="60" t="s">
        <v>281</v>
      </c>
      <c r="B379" s="2">
        <f t="shared" si="5"/>
        <v>1</v>
      </c>
    </row>
    <row r="380" spans="1:2" x14ac:dyDescent="0.25">
      <c r="A380" s="61" t="s">
        <v>282</v>
      </c>
      <c r="B380" s="2">
        <f t="shared" si="5"/>
        <v>1</v>
      </c>
    </row>
    <row r="381" spans="1:2" x14ac:dyDescent="0.25">
      <c r="A381" s="61" t="s">
        <v>283</v>
      </c>
      <c r="B381" s="2">
        <f t="shared" si="5"/>
        <v>2</v>
      </c>
    </row>
    <row r="382" spans="1:2" x14ac:dyDescent="0.25">
      <c r="A382" s="61" t="s">
        <v>284</v>
      </c>
      <c r="B382" s="2">
        <f t="shared" si="5"/>
        <v>3</v>
      </c>
    </row>
    <row r="383" spans="1:2" x14ac:dyDescent="0.25">
      <c r="A383" s="61" t="s">
        <v>284</v>
      </c>
      <c r="B383" s="2">
        <f t="shared" si="5"/>
        <v>3</v>
      </c>
    </row>
    <row r="384" spans="1:2" ht="15.75" x14ac:dyDescent="0.25">
      <c r="A384" s="69" t="s">
        <v>340</v>
      </c>
      <c r="B384" s="2">
        <f t="shared" si="5"/>
        <v>1</v>
      </c>
    </row>
    <row r="385" spans="1:2" x14ac:dyDescent="0.25">
      <c r="A385" s="60" t="s">
        <v>285</v>
      </c>
      <c r="B385" s="2">
        <f t="shared" si="5"/>
        <v>1</v>
      </c>
    </row>
    <row r="386" spans="1:2" x14ac:dyDescent="0.25">
      <c r="A386" s="63" t="s">
        <v>41</v>
      </c>
      <c r="B386" s="2">
        <f t="shared" si="5"/>
        <v>2</v>
      </c>
    </row>
    <row r="387" spans="1:2" x14ac:dyDescent="0.25">
      <c r="A387" s="60" t="s">
        <v>286</v>
      </c>
      <c r="B387" s="2">
        <f t="shared" ref="B387:B450" si="6">COUNTIF($A:$A,A387)</f>
        <v>1</v>
      </c>
    </row>
    <row r="388" spans="1:2" ht="15.75" x14ac:dyDescent="0.25">
      <c r="A388" s="71" t="s">
        <v>341</v>
      </c>
      <c r="B388" s="2">
        <f t="shared" si="6"/>
        <v>1</v>
      </c>
    </row>
    <row r="389" spans="1:2" ht="15.75" x14ac:dyDescent="0.25">
      <c r="A389" s="69" t="s">
        <v>342</v>
      </c>
      <c r="B389" s="2">
        <f t="shared" si="6"/>
        <v>1</v>
      </c>
    </row>
    <row r="390" spans="1:2" ht="29.25" x14ac:dyDescent="0.25">
      <c r="A390" s="60" t="s">
        <v>287</v>
      </c>
      <c r="B390" s="2">
        <f t="shared" si="6"/>
        <v>1</v>
      </c>
    </row>
    <row r="391" spans="1:2" x14ac:dyDescent="0.25">
      <c r="A391" s="60" t="s">
        <v>288</v>
      </c>
      <c r="B391" s="2">
        <f t="shared" si="6"/>
        <v>1</v>
      </c>
    </row>
    <row r="392" spans="1:2" x14ac:dyDescent="0.25">
      <c r="A392" s="60" t="s">
        <v>289</v>
      </c>
      <c r="B392" s="2">
        <f t="shared" si="6"/>
        <v>1</v>
      </c>
    </row>
    <row r="393" spans="1:2" x14ac:dyDescent="0.25">
      <c r="A393" s="60" t="s">
        <v>351</v>
      </c>
      <c r="B393" s="2">
        <f t="shared" si="6"/>
        <v>1</v>
      </c>
    </row>
    <row r="394" spans="1:2" x14ac:dyDescent="0.25">
      <c r="A394" s="61" t="s">
        <v>290</v>
      </c>
      <c r="B394" s="2">
        <f t="shared" si="6"/>
        <v>1</v>
      </c>
    </row>
    <row r="395" spans="1:2" ht="30.75" x14ac:dyDescent="0.25">
      <c r="A395" s="72" t="s">
        <v>291</v>
      </c>
      <c r="B395" s="2">
        <f t="shared" si="6"/>
        <v>2</v>
      </c>
    </row>
    <row r="396" spans="1:2" x14ac:dyDescent="0.25">
      <c r="A396" s="60" t="s">
        <v>292</v>
      </c>
      <c r="B396" s="2">
        <f t="shared" si="6"/>
        <v>1</v>
      </c>
    </row>
    <row r="397" spans="1:2" x14ac:dyDescent="0.25">
      <c r="A397" s="60" t="s">
        <v>293</v>
      </c>
      <c r="B397" s="2">
        <f t="shared" si="6"/>
        <v>1</v>
      </c>
    </row>
    <row r="398" spans="1:2" x14ac:dyDescent="0.25">
      <c r="A398" s="60" t="s">
        <v>294</v>
      </c>
      <c r="B398" s="2">
        <f t="shared" si="6"/>
        <v>1</v>
      </c>
    </row>
    <row r="399" spans="1:2" x14ac:dyDescent="0.25">
      <c r="A399" s="60" t="s">
        <v>295</v>
      </c>
      <c r="B399" s="2">
        <f t="shared" si="6"/>
        <v>1</v>
      </c>
    </row>
    <row r="400" spans="1:2" x14ac:dyDescent="0.25">
      <c r="A400" s="60" t="s">
        <v>296</v>
      </c>
      <c r="B400" s="2">
        <f t="shared" si="6"/>
        <v>1</v>
      </c>
    </row>
    <row r="401" spans="1:2" ht="29.25" x14ac:dyDescent="0.25">
      <c r="A401" s="73" t="s">
        <v>297</v>
      </c>
      <c r="B401" s="2">
        <f t="shared" si="6"/>
        <v>1</v>
      </c>
    </row>
    <row r="402" spans="1:2" x14ac:dyDescent="0.25">
      <c r="A402" s="61" t="s">
        <v>298</v>
      </c>
      <c r="B402" s="2">
        <f t="shared" si="6"/>
        <v>1</v>
      </c>
    </row>
    <row r="403" spans="1:2" ht="29.25" x14ac:dyDescent="0.25">
      <c r="A403" s="60" t="s">
        <v>88</v>
      </c>
      <c r="B403" s="2">
        <f t="shared" si="6"/>
        <v>2</v>
      </c>
    </row>
    <row r="404" spans="1:2" x14ac:dyDescent="0.25">
      <c r="A404" s="60" t="s">
        <v>89</v>
      </c>
      <c r="B404" s="2">
        <f t="shared" si="6"/>
        <v>3</v>
      </c>
    </row>
    <row r="405" spans="1:2" x14ac:dyDescent="0.25">
      <c r="A405" s="60" t="s">
        <v>299</v>
      </c>
      <c r="B405" s="2">
        <f t="shared" si="6"/>
        <v>1</v>
      </c>
    </row>
    <row r="406" spans="1:2" x14ac:dyDescent="0.25">
      <c r="A406" s="60" t="s">
        <v>300</v>
      </c>
      <c r="B406" s="2">
        <f t="shared" si="6"/>
        <v>2</v>
      </c>
    </row>
    <row r="407" spans="1:2" x14ac:dyDescent="0.25">
      <c r="A407" s="60" t="s">
        <v>301</v>
      </c>
      <c r="B407" s="2">
        <f t="shared" si="6"/>
        <v>2</v>
      </c>
    </row>
    <row r="408" spans="1:2" ht="15.75" x14ac:dyDescent="0.25">
      <c r="A408" s="69" t="s">
        <v>343</v>
      </c>
      <c r="B408" s="2">
        <f t="shared" si="6"/>
        <v>1</v>
      </c>
    </row>
    <row r="409" spans="1:2" x14ac:dyDescent="0.25">
      <c r="A409" s="60" t="s">
        <v>302</v>
      </c>
      <c r="B409" s="2">
        <f t="shared" si="6"/>
        <v>1</v>
      </c>
    </row>
    <row r="410" spans="1:2" ht="29.25" x14ac:dyDescent="0.25">
      <c r="A410" s="60" t="s">
        <v>94</v>
      </c>
      <c r="B410" s="2">
        <f t="shared" si="6"/>
        <v>7</v>
      </c>
    </row>
    <row r="411" spans="1:2" x14ac:dyDescent="0.25">
      <c r="A411" s="67" t="s">
        <v>46</v>
      </c>
      <c r="B411" s="2">
        <f t="shared" si="6"/>
        <v>3</v>
      </c>
    </row>
    <row r="412" spans="1:2" x14ac:dyDescent="0.25">
      <c r="A412" s="60" t="s">
        <v>303</v>
      </c>
      <c r="B412" s="2">
        <f t="shared" si="6"/>
        <v>1</v>
      </c>
    </row>
    <row r="413" spans="1:2" x14ac:dyDescent="0.25">
      <c r="A413" s="60" t="s">
        <v>304</v>
      </c>
      <c r="B413" s="2">
        <f t="shared" si="6"/>
        <v>1</v>
      </c>
    </row>
    <row r="414" spans="1:2" x14ac:dyDescent="0.25">
      <c r="A414" s="60" t="s">
        <v>305</v>
      </c>
      <c r="B414" s="2">
        <f t="shared" si="6"/>
        <v>3</v>
      </c>
    </row>
    <row r="415" spans="1:2" x14ac:dyDescent="0.25">
      <c r="A415" s="63" t="s">
        <v>306</v>
      </c>
      <c r="B415" s="2">
        <f t="shared" si="6"/>
        <v>2</v>
      </c>
    </row>
    <row r="416" spans="1:2" x14ac:dyDescent="0.25">
      <c r="A416" s="60" t="s">
        <v>172</v>
      </c>
      <c r="B416" s="2">
        <f t="shared" si="6"/>
        <v>2</v>
      </c>
    </row>
    <row r="417" spans="1:2" ht="30.75" x14ac:dyDescent="0.25">
      <c r="A417" s="69" t="s">
        <v>48</v>
      </c>
      <c r="B417" s="2">
        <f t="shared" si="6"/>
        <v>2</v>
      </c>
    </row>
    <row r="418" spans="1:2" x14ac:dyDescent="0.25">
      <c r="A418" s="60" t="s">
        <v>307</v>
      </c>
      <c r="B418" s="2">
        <f t="shared" si="6"/>
        <v>1</v>
      </c>
    </row>
    <row r="419" spans="1:2" x14ac:dyDescent="0.25">
      <c r="A419" s="68" t="s">
        <v>308</v>
      </c>
      <c r="B419" s="2">
        <f t="shared" si="6"/>
        <v>1</v>
      </c>
    </row>
    <row r="420" spans="1:2" ht="15.75" x14ac:dyDescent="0.25">
      <c r="A420" s="72" t="s">
        <v>344</v>
      </c>
      <c r="B420" s="2">
        <f t="shared" si="6"/>
        <v>1</v>
      </c>
    </row>
    <row r="421" spans="1:2" x14ac:dyDescent="0.25">
      <c r="A421" s="73" t="s">
        <v>309</v>
      </c>
      <c r="B421" s="2">
        <f t="shared" si="6"/>
        <v>1</v>
      </c>
    </row>
    <row r="422" spans="1:2" x14ac:dyDescent="0.25">
      <c r="A422" s="61" t="s">
        <v>310</v>
      </c>
      <c r="B422" s="2">
        <f t="shared" si="6"/>
        <v>1</v>
      </c>
    </row>
    <row r="423" spans="1:2" x14ac:dyDescent="0.25">
      <c r="A423" s="60" t="s">
        <v>311</v>
      </c>
      <c r="B423" s="2">
        <f t="shared" si="6"/>
        <v>1</v>
      </c>
    </row>
    <row r="424" spans="1:2" x14ac:dyDescent="0.25">
      <c r="A424" s="60" t="s">
        <v>312</v>
      </c>
      <c r="B424" s="2">
        <f t="shared" si="6"/>
        <v>1</v>
      </c>
    </row>
    <row r="425" spans="1:2" ht="15.75" x14ac:dyDescent="0.25">
      <c r="A425" s="69" t="s">
        <v>345</v>
      </c>
      <c r="B425" s="2">
        <f t="shared" si="6"/>
        <v>1</v>
      </c>
    </row>
    <row r="426" spans="1:2" x14ac:dyDescent="0.25">
      <c r="A426" s="60" t="s">
        <v>313</v>
      </c>
      <c r="B426" s="2">
        <f t="shared" si="6"/>
        <v>1</v>
      </c>
    </row>
    <row r="427" spans="1:2" ht="15.75" x14ac:dyDescent="0.25">
      <c r="A427" s="71" t="s">
        <v>346</v>
      </c>
      <c r="B427" s="2">
        <f t="shared" si="6"/>
        <v>1</v>
      </c>
    </row>
    <row r="428" spans="1:2" ht="15.75" x14ac:dyDescent="0.25">
      <c r="A428" s="71" t="s">
        <v>347</v>
      </c>
      <c r="B428" s="2">
        <f t="shared" si="6"/>
        <v>1</v>
      </c>
    </row>
    <row r="429" spans="1:2" x14ac:dyDescent="0.25">
      <c r="A429" s="61" t="s">
        <v>352</v>
      </c>
      <c r="B429" s="2">
        <f t="shared" si="6"/>
        <v>1</v>
      </c>
    </row>
    <row r="430" spans="1:2" x14ac:dyDescent="0.25">
      <c r="A430" s="61" t="s">
        <v>353</v>
      </c>
      <c r="B430" s="2">
        <f t="shared" si="6"/>
        <v>1</v>
      </c>
    </row>
    <row r="431" spans="1:2" x14ac:dyDescent="0.25">
      <c r="A431" s="77" t="s">
        <v>217</v>
      </c>
      <c r="B431" s="2">
        <f t="shared" si="6"/>
        <v>2</v>
      </c>
    </row>
    <row r="432" spans="1:2" x14ac:dyDescent="0.25">
      <c r="A432" s="78" t="s">
        <v>357</v>
      </c>
      <c r="B432" s="2">
        <f t="shared" si="6"/>
        <v>1</v>
      </c>
    </row>
    <row r="433" spans="1:2" x14ac:dyDescent="0.25">
      <c r="A433" s="77" t="s">
        <v>423</v>
      </c>
      <c r="B433" s="2">
        <f t="shared" si="6"/>
        <v>1</v>
      </c>
    </row>
    <row r="434" spans="1:2" x14ac:dyDescent="0.25">
      <c r="A434" s="77" t="s">
        <v>54</v>
      </c>
      <c r="B434" s="2">
        <f t="shared" si="6"/>
        <v>5</v>
      </c>
    </row>
    <row r="435" spans="1:2" x14ac:dyDescent="0.25">
      <c r="A435" s="78" t="s">
        <v>358</v>
      </c>
      <c r="B435" s="2">
        <f t="shared" si="6"/>
        <v>1</v>
      </c>
    </row>
    <row r="436" spans="1:2" x14ac:dyDescent="0.25">
      <c r="A436" s="77" t="s">
        <v>424</v>
      </c>
      <c r="B436" s="2">
        <f t="shared" si="6"/>
        <v>1</v>
      </c>
    </row>
    <row r="437" spans="1:2" x14ac:dyDescent="0.25">
      <c r="A437" s="78" t="s">
        <v>359</v>
      </c>
      <c r="B437" s="2">
        <f t="shared" si="6"/>
        <v>1</v>
      </c>
    </row>
    <row r="438" spans="1:2" x14ac:dyDescent="0.25">
      <c r="A438" s="79" t="s">
        <v>425</v>
      </c>
      <c r="B438" s="2">
        <f t="shared" si="6"/>
        <v>2</v>
      </c>
    </row>
    <row r="439" spans="1:2" x14ac:dyDescent="0.25">
      <c r="A439" s="78" t="s">
        <v>100</v>
      </c>
      <c r="B439" s="2">
        <f t="shared" si="6"/>
        <v>3</v>
      </c>
    </row>
    <row r="440" spans="1:2" x14ac:dyDescent="0.25">
      <c r="A440" s="77" t="s">
        <v>426</v>
      </c>
      <c r="B440" s="2">
        <f t="shared" si="6"/>
        <v>3</v>
      </c>
    </row>
    <row r="441" spans="1:2" ht="29.25" x14ac:dyDescent="0.25">
      <c r="A441" s="78" t="s">
        <v>427</v>
      </c>
      <c r="B441" s="2">
        <f t="shared" si="6"/>
        <v>1</v>
      </c>
    </row>
    <row r="442" spans="1:2" x14ac:dyDescent="0.25">
      <c r="A442" s="77" t="s">
        <v>102</v>
      </c>
      <c r="B442" s="2">
        <f t="shared" si="6"/>
        <v>3</v>
      </c>
    </row>
    <row r="443" spans="1:2" x14ac:dyDescent="0.25">
      <c r="A443" s="78" t="s">
        <v>360</v>
      </c>
      <c r="B443" s="2">
        <f t="shared" si="6"/>
        <v>1</v>
      </c>
    </row>
    <row r="444" spans="1:2" x14ac:dyDescent="0.25">
      <c r="A444" s="78" t="s">
        <v>361</v>
      </c>
      <c r="B444" s="2">
        <f t="shared" si="6"/>
        <v>1</v>
      </c>
    </row>
    <row r="445" spans="1:2" x14ac:dyDescent="0.25">
      <c r="A445" s="78" t="s">
        <v>362</v>
      </c>
      <c r="B445" s="2">
        <f t="shared" si="6"/>
        <v>1</v>
      </c>
    </row>
    <row r="446" spans="1:2" x14ac:dyDescent="0.25">
      <c r="A446" s="77" t="s">
        <v>363</v>
      </c>
      <c r="B446" s="2">
        <f t="shared" si="6"/>
        <v>1</v>
      </c>
    </row>
    <row r="447" spans="1:2" x14ac:dyDescent="0.25">
      <c r="A447" s="78" t="s">
        <v>364</v>
      </c>
      <c r="B447" s="2">
        <f t="shared" si="6"/>
        <v>1</v>
      </c>
    </row>
    <row r="448" spans="1:2" x14ac:dyDescent="0.25">
      <c r="A448" s="78" t="s">
        <v>428</v>
      </c>
      <c r="B448" s="2">
        <f t="shared" si="6"/>
        <v>1</v>
      </c>
    </row>
    <row r="449" spans="1:2" ht="29.25" x14ac:dyDescent="0.25">
      <c r="A449" s="78" t="s">
        <v>365</v>
      </c>
      <c r="B449" s="2">
        <f t="shared" si="6"/>
        <v>1</v>
      </c>
    </row>
    <row r="450" spans="1:2" x14ac:dyDescent="0.25">
      <c r="A450" s="78" t="s">
        <v>429</v>
      </c>
      <c r="B450" s="2">
        <f t="shared" si="6"/>
        <v>1</v>
      </c>
    </row>
    <row r="451" spans="1:2" x14ac:dyDescent="0.25">
      <c r="A451" s="78" t="s">
        <v>366</v>
      </c>
      <c r="B451" s="2">
        <f t="shared" ref="B451:B514" si="7">COUNTIF($A:$A,A451)</f>
        <v>1</v>
      </c>
    </row>
    <row r="452" spans="1:2" x14ac:dyDescent="0.25">
      <c r="A452" s="78" t="s">
        <v>106</v>
      </c>
      <c r="B452" s="2">
        <f t="shared" si="7"/>
        <v>2</v>
      </c>
    </row>
    <row r="453" spans="1:2" x14ac:dyDescent="0.25">
      <c r="A453" s="78" t="s">
        <v>367</v>
      </c>
      <c r="B453" s="2">
        <f t="shared" si="7"/>
        <v>1</v>
      </c>
    </row>
    <row r="454" spans="1:2" x14ac:dyDescent="0.25">
      <c r="A454" s="80" t="s">
        <v>368</v>
      </c>
      <c r="B454" s="2">
        <f t="shared" si="7"/>
        <v>1</v>
      </c>
    </row>
    <row r="455" spans="1:2" x14ac:dyDescent="0.25">
      <c r="A455" s="77" t="s">
        <v>369</v>
      </c>
      <c r="B455" s="2">
        <f t="shared" si="7"/>
        <v>2</v>
      </c>
    </row>
    <row r="456" spans="1:2" x14ac:dyDescent="0.25">
      <c r="A456" s="77" t="s">
        <v>322</v>
      </c>
      <c r="B456" s="2">
        <f t="shared" si="7"/>
        <v>2</v>
      </c>
    </row>
    <row r="457" spans="1:2" x14ac:dyDescent="0.25">
      <c r="A457" s="78" t="s">
        <v>370</v>
      </c>
      <c r="B457" s="2">
        <f t="shared" si="7"/>
        <v>2</v>
      </c>
    </row>
    <row r="458" spans="1:2" x14ac:dyDescent="0.25">
      <c r="A458" s="78" t="s">
        <v>370</v>
      </c>
      <c r="B458" s="2">
        <f t="shared" si="7"/>
        <v>2</v>
      </c>
    </row>
    <row r="459" spans="1:2" x14ac:dyDescent="0.25">
      <c r="A459" s="79" t="s">
        <v>430</v>
      </c>
      <c r="B459" s="2">
        <f t="shared" si="7"/>
        <v>1</v>
      </c>
    </row>
    <row r="460" spans="1:2" x14ac:dyDescent="0.25">
      <c r="A460" s="77" t="s">
        <v>371</v>
      </c>
      <c r="B460" s="2">
        <f t="shared" si="7"/>
        <v>2</v>
      </c>
    </row>
    <row r="461" spans="1:2" x14ac:dyDescent="0.25">
      <c r="A461" s="78" t="s">
        <v>17</v>
      </c>
      <c r="B461" s="2">
        <f t="shared" si="7"/>
        <v>2</v>
      </c>
    </row>
    <row r="462" spans="1:2" x14ac:dyDescent="0.25">
      <c r="A462" s="80" t="s">
        <v>372</v>
      </c>
      <c r="B462" s="2">
        <f t="shared" si="7"/>
        <v>2</v>
      </c>
    </row>
    <row r="463" spans="1:2" x14ac:dyDescent="0.25">
      <c r="A463" s="81" t="s">
        <v>373</v>
      </c>
      <c r="B463" s="2">
        <f t="shared" si="7"/>
        <v>1</v>
      </c>
    </row>
    <row r="464" spans="1:2" ht="29.25" x14ac:dyDescent="0.25">
      <c r="A464" s="77" t="s">
        <v>374</v>
      </c>
      <c r="B464" s="2">
        <f t="shared" si="7"/>
        <v>1</v>
      </c>
    </row>
    <row r="465" spans="1:2" x14ac:dyDescent="0.25">
      <c r="A465" s="80" t="s">
        <v>59</v>
      </c>
      <c r="B465" s="2">
        <f t="shared" si="7"/>
        <v>2</v>
      </c>
    </row>
    <row r="466" spans="1:2" x14ac:dyDescent="0.25">
      <c r="A466" s="78" t="s">
        <v>375</v>
      </c>
      <c r="B466" s="2">
        <f t="shared" si="7"/>
        <v>1</v>
      </c>
    </row>
    <row r="467" spans="1:2" x14ac:dyDescent="0.25">
      <c r="A467" s="77" t="s">
        <v>376</v>
      </c>
      <c r="B467" s="2">
        <f t="shared" si="7"/>
        <v>1</v>
      </c>
    </row>
    <row r="468" spans="1:2" x14ac:dyDescent="0.25">
      <c r="A468" s="78" t="s">
        <v>377</v>
      </c>
      <c r="B468" s="2">
        <f t="shared" si="7"/>
        <v>1</v>
      </c>
    </row>
    <row r="469" spans="1:2" x14ac:dyDescent="0.25">
      <c r="A469" s="77" t="s">
        <v>378</v>
      </c>
      <c r="B469" s="2">
        <f t="shared" si="7"/>
        <v>1</v>
      </c>
    </row>
    <row r="470" spans="1:2" x14ac:dyDescent="0.25">
      <c r="A470" s="78" t="s">
        <v>113</v>
      </c>
      <c r="B470" s="2">
        <f t="shared" si="7"/>
        <v>2</v>
      </c>
    </row>
    <row r="471" spans="1:2" x14ac:dyDescent="0.25">
      <c r="A471" s="78" t="s">
        <v>114</v>
      </c>
      <c r="B471" s="2">
        <f t="shared" si="7"/>
        <v>2</v>
      </c>
    </row>
    <row r="472" spans="1:2" ht="29.25" x14ac:dyDescent="0.25">
      <c r="A472" s="78" t="s">
        <v>379</v>
      </c>
      <c r="B472" s="2">
        <f t="shared" si="7"/>
        <v>1</v>
      </c>
    </row>
    <row r="473" spans="1:2" x14ac:dyDescent="0.25">
      <c r="A473" s="80" t="s">
        <v>380</v>
      </c>
      <c r="B473" s="2">
        <f t="shared" si="7"/>
        <v>1</v>
      </c>
    </row>
    <row r="474" spans="1:2" x14ac:dyDescent="0.25">
      <c r="A474" s="77" t="s">
        <v>117</v>
      </c>
      <c r="B474" s="2">
        <f t="shared" si="7"/>
        <v>2</v>
      </c>
    </row>
    <row r="475" spans="1:2" x14ac:dyDescent="0.25">
      <c r="A475" s="78" t="s">
        <v>118</v>
      </c>
      <c r="B475" s="2">
        <f t="shared" si="7"/>
        <v>1</v>
      </c>
    </row>
    <row r="476" spans="1:2" x14ac:dyDescent="0.25">
      <c r="A476" s="77" t="s">
        <v>381</v>
      </c>
      <c r="B476" s="2">
        <f t="shared" si="7"/>
        <v>1</v>
      </c>
    </row>
    <row r="477" spans="1:2" x14ac:dyDescent="0.25">
      <c r="A477" s="82" t="s">
        <v>382</v>
      </c>
      <c r="B477" s="2">
        <f t="shared" si="7"/>
        <v>3</v>
      </c>
    </row>
    <row r="478" spans="1:2" ht="29.25" x14ac:dyDescent="0.25">
      <c r="A478" s="78" t="s">
        <v>383</v>
      </c>
      <c r="B478" s="2">
        <f t="shared" si="7"/>
        <v>1</v>
      </c>
    </row>
    <row r="479" spans="1:2" x14ac:dyDescent="0.25">
      <c r="A479" s="83" t="s">
        <v>384</v>
      </c>
      <c r="B479" s="2">
        <f t="shared" si="7"/>
        <v>1</v>
      </c>
    </row>
    <row r="480" spans="1:2" x14ac:dyDescent="0.25">
      <c r="A480" s="79" t="s">
        <v>68</v>
      </c>
      <c r="B480" s="2">
        <f t="shared" si="7"/>
        <v>2</v>
      </c>
    </row>
    <row r="481" spans="1:2" x14ac:dyDescent="0.25">
      <c r="A481" s="79" t="s">
        <v>385</v>
      </c>
      <c r="B481" s="2">
        <f t="shared" si="7"/>
        <v>1</v>
      </c>
    </row>
    <row r="482" spans="1:2" ht="29.25" x14ac:dyDescent="0.25">
      <c r="A482" s="78" t="s">
        <v>386</v>
      </c>
      <c r="B482" s="2">
        <f t="shared" si="7"/>
        <v>1</v>
      </c>
    </row>
    <row r="483" spans="1:2" x14ac:dyDescent="0.25">
      <c r="A483" s="78" t="s">
        <v>387</v>
      </c>
      <c r="B483" s="2">
        <f t="shared" si="7"/>
        <v>2</v>
      </c>
    </row>
    <row r="484" spans="1:2" x14ac:dyDescent="0.25">
      <c r="A484" s="78" t="s">
        <v>388</v>
      </c>
      <c r="B484" s="2">
        <f t="shared" si="7"/>
        <v>1</v>
      </c>
    </row>
    <row r="485" spans="1:2" x14ac:dyDescent="0.25">
      <c r="A485" s="77" t="s">
        <v>389</v>
      </c>
      <c r="B485" s="2">
        <f t="shared" si="7"/>
        <v>1</v>
      </c>
    </row>
    <row r="486" spans="1:2" x14ac:dyDescent="0.25">
      <c r="A486" s="78" t="s">
        <v>390</v>
      </c>
      <c r="B486" s="2">
        <f t="shared" si="7"/>
        <v>1</v>
      </c>
    </row>
    <row r="487" spans="1:2" x14ac:dyDescent="0.25">
      <c r="A487" s="77" t="s">
        <v>391</v>
      </c>
      <c r="B487" s="2">
        <f t="shared" si="7"/>
        <v>1</v>
      </c>
    </row>
    <row r="488" spans="1:2" x14ac:dyDescent="0.25">
      <c r="A488" s="77" t="s">
        <v>392</v>
      </c>
      <c r="B488" s="2">
        <f t="shared" si="7"/>
        <v>1</v>
      </c>
    </row>
    <row r="489" spans="1:2" x14ac:dyDescent="0.25">
      <c r="A489" s="78" t="s">
        <v>393</v>
      </c>
      <c r="B489" s="2">
        <f t="shared" si="7"/>
        <v>1</v>
      </c>
    </row>
    <row r="490" spans="1:2" x14ac:dyDescent="0.25">
      <c r="A490" s="78" t="s">
        <v>431</v>
      </c>
      <c r="B490" s="2">
        <f t="shared" si="7"/>
        <v>1</v>
      </c>
    </row>
    <row r="491" spans="1:2" x14ac:dyDescent="0.25">
      <c r="A491" s="77" t="s">
        <v>394</v>
      </c>
      <c r="B491" s="2">
        <f t="shared" si="7"/>
        <v>1</v>
      </c>
    </row>
    <row r="492" spans="1:2" x14ac:dyDescent="0.25">
      <c r="A492" s="78" t="s">
        <v>33</v>
      </c>
      <c r="B492" s="2">
        <f t="shared" si="7"/>
        <v>3</v>
      </c>
    </row>
    <row r="493" spans="1:2" x14ac:dyDescent="0.25">
      <c r="A493" s="82" t="s">
        <v>432</v>
      </c>
      <c r="B493" s="2">
        <f t="shared" si="7"/>
        <v>2</v>
      </c>
    </row>
    <row r="494" spans="1:2" x14ac:dyDescent="0.25">
      <c r="A494" s="78" t="s">
        <v>265</v>
      </c>
      <c r="B494" s="2">
        <f t="shared" si="7"/>
        <v>2</v>
      </c>
    </row>
    <row r="495" spans="1:2" x14ac:dyDescent="0.25">
      <c r="A495" s="78" t="s">
        <v>395</v>
      </c>
      <c r="B495" s="2">
        <f t="shared" si="7"/>
        <v>1</v>
      </c>
    </row>
    <row r="496" spans="1:2" ht="29.25" x14ac:dyDescent="0.25">
      <c r="A496" s="77" t="s">
        <v>396</v>
      </c>
      <c r="B496" s="2">
        <f t="shared" si="7"/>
        <v>1</v>
      </c>
    </row>
    <row r="497" spans="1:2" x14ac:dyDescent="0.25">
      <c r="A497" s="77" t="s">
        <v>397</v>
      </c>
      <c r="B497" s="2">
        <f t="shared" si="7"/>
        <v>1</v>
      </c>
    </row>
    <row r="498" spans="1:2" x14ac:dyDescent="0.25">
      <c r="A498" s="77" t="s">
        <v>133</v>
      </c>
      <c r="B498" s="2">
        <f t="shared" si="7"/>
        <v>4</v>
      </c>
    </row>
    <row r="499" spans="1:2" x14ac:dyDescent="0.25">
      <c r="A499" s="78" t="s">
        <v>398</v>
      </c>
      <c r="B499" s="2">
        <f t="shared" si="7"/>
        <v>1</v>
      </c>
    </row>
    <row r="500" spans="1:2" x14ac:dyDescent="0.25">
      <c r="A500" s="81" t="s">
        <v>433</v>
      </c>
      <c r="B500" s="2">
        <f t="shared" si="7"/>
        <v>2</v>
      </c>
    </row>
    <row r="501" spans="1:2" x14ac:dyDescent="0.25">
      <c r="A501" s="78" t="s">
        <v>399</v>
      </c>
      <c r="B501" s="2">
        <f t="shared" si="7"/>
        <v>1</v>
      </c>
    </row>
    <row r="502" spans="1:2" x14ac:dyDescent="0.25">
      <c r="A502" s="78" t="s">
        <v>434</v>
      </c>
      <c r="B502" s="2">
        <f t="shared" si="7"/>
        <v>1</v>
      </c>
    </row>
    <row r="503" spans="1:2" x14ac:dyDescent="0.25">
      <c r="A503" s="77" t="s">
        <v>435</v>
      </c>
      <c r="B503" s="2">
        <f t="shared" si="7"/>
        <v>1</v>
      </c>
    </row>
    <row r="504" spans="1:2" x14ac:dyDescent="0.25">
      <c r="A504" s="78" t="s">
        <v>274</v>
      </c>
      <c r="B504" s="2">
        <f t="shared" si="7"/>
        <v>3</v>
      </c>
    </row>
    <row r="505" spans="1:2" x14ac:dyDescent="0.25">
      <c r="A505" s="78" t="s">
        <v>436</v>
      </c>
      <c r="B505" s="2">
        <f t="shared" si="7"/>
        <v>1</v>
      </c>
    </row>
    <row r="506" spans="1:2" x14ac:dyDescent="0.25">
      <c r="A506" s="82" t="s">
        <v>140</v>
      </c>
      <c r="B506" s="2">
        <f t="shared" si="7"/>
        <v>2</v>
      </c>
    </row>
    <row r="507" spans="1:2" x14ac:dyDescent="0.25">
      <c r="A507" s="77" t="s">
        <v>77</v>
      </c>
      <c r="B507" s="2">
        <f t="shared" si="7"/>
        <v>2</v>
      </c>
    </row>
    <row r="508" spans="1:2" x14ac:dyDescent="0.25">
      <c r="A508" s="78" t="s">
        <v>400</v>
      </c>
      <c r="B508" s="2">
        <f t="shared" si="7"/>
        <v>1</v>
      </c>
    </row>
    <row r="509" spans="1:2" x14ac:dyDescent="0.25">
      <c r="A509" s="79" t="s">
        <v>401</v>
      </c>
      <c r="B509" s="2">
        <f t="shared" si="7"/>
        <v>2</v>
      </c>
    </row>
    <row r="510" spans="1:2" x14ac:dyDescent="0.25">
      <c r="A510" s="78" t="s">
        <v>141</v>
      </c>
      <c r="B510" s="2">
        <f t="shared" si="7"/>
        <v>2</v>
      </c>
    </row>
    <row r="511" spans="1:2" x14ac:dyDescent="0.25">
      <c r="A511" s="78" t="s">
        <v>437</v>
      </c>
      <c r="B511" s="2">
        <f t="shared" si="7"/>
        <v>1</v>
      </c>
    </row>
    <row r="512" spans="1:2" ht="29.25" x14ac:dyDescent="0.25">
      <c r="A512" s="78" t="s">
        <v>402</v>
      </c>
      <c r="B512" s="2">
        <f t="shared" si="7"/>
        <v>1</v>
      </c>
    </row>
    <row r="513" spans="1:2" x14ac:dyDescent="0.25">
      <c r="A513" s="79" t="s">
        <v>403</v>
      </c>
      <c r="B513" s="2">
        <f t="shared" si="7"/>
        <v>1</v>
      </c>
    </row>
    <row r="514" spans="1:2" x14ac:dyDescent="0.25">
      <c r="A514" s="78" t="s">
        <v>404</v>
      </c>
      <c r="B514" s="2">
        <f t="shared" si="7"/>
        <v>1</v>
      </c>
    </row>
    <row r="515" spans="1:2" x14ac:dyDescent="0.25">
      <c r="A515" s="77" t="s">
        <v>405</v>
      </c>
      <c r="B515" s="2">
        <f t="shared" ref="B515:B578" si="8">COUNTIF($A:$A,A515)</f>
        <v>1</v>
      </c>
    </row>
    <row r="516" spans="1:2" x14ac:dyDescent="0.25">
      <c r="A516" s="79" t="s">
        <v>284</v>
      </c>
      <c r="B516" s="2">
        <f t="shared" si="8"/>
        <v>3</v>
      </c>
    </row>
    <row r="517" spans="1:2" x14ac:dyDescent="0.25">
      <c r="A517" s="78" t="s">
        <v>406</v>
      </c>
      <c r="B517" s="2">
        <f t="shared" si="8"/>
        <v>2</v>
      </c>
    </row>
    <row r="518" spans="1:2" ht="29.25" x14ac:dyDescent="0.25">
      <c r="A518" s="77" t="s">
        <v>407</v>
      </c>
      <c r="B518" s="2">
        <f t="shared" si="8"/>
        <v>2</v>
      </c>
    </row>
    <row r="519" spans="1:2" x14ac:dyDescent="0.25">
      <c r="A519" s="78" t="s">
        <v>438</v>
      </c>
      <c r="B519" s="2">
        <f t="shared" si="8"/>
        <v>2</v>
      </c>
    </row>
    <row r="520" spans="1:2" x14ac:dyDescent="0.25">
      <c r="A520" s="77" t="s">
        <v>439</v>
      </c>
      <c r="B520" s="2">
        <f t="shared" si="8"/>
        <v>1</v>
      </c>
    </row>
    <row r="521" spans="1:2" x14ac:dyDescent="0.25">
      <c r="A521" s="78" t="s">
        <v>408</v>
      </c>
      <c r="B521" s="2">
        <f t="shared" si="8"/>
        <v>1</v>
      </c>
    </row>
    <row r="522" spans="1:2" x14ac:dyDescent="0.25">
      <c r="A522" s="77" t="s">
        <v>409</v>
      </c>
      <c r="B522" s="2">
        <f t="shared" si="8"/>
        <v>2</v>
      </c>
    </row>
    <row r="523" spans="1:2" x14ac:dyDescent="0.25">
      <c r="A523" s="77" t="s">
        <v>440</v>
      </c>
      <c r="B523" s="2">
        <f t="shared" si="8"/>
        <v>1</v>
      </c>
    </row>
    <row r="524" spans="1:2" x14ac:dyDescent="0.25">
      <c r="A524" s="78" t="s">
        <v>441</v>
      </c>
      <c r="B524" s="2">
        <f t="shared" si="8"/>
        <v>1</v>
      </c>
    </row>
    <row r="525" spans="1:2" x14ac:dyDescent="0.25">
      <c r="A525" s="78" t="s">
        <v>442</v>
      </c>
      <c r="B525" s="2">
        <f t="shared" si="8"/>
        <v>1</v>
      </c>
    </row>
    <row r="526" spans="1:2" ht="29.25" x14ac:dyDescent="0.25">
      <c r="A526" s="78" t="s">
        <v>84</v>
      </c>
      <c r="B526" s="2">
        <f t="shared" si="8"/>
        <v>2</v>
      </c>
    </row>
    <row r="527" spans="1:2" x14ac:dyDescent="0.25">
      <c r="A527" s="78" t="s">
        <v>410</v>
      </c>
      <c r="B527" s="2">
        <f t="shared" si="8"/>
        <v>1</v>
      </c>
    </row>
    <row r="528" spans="1:2" x14ac:dyDescent="0.25">
      <c r="A528" s="78" t="s">
        <v>411</v>
      </c>
      <c r="B528" s="2">
        <f t="shared" si="8"/>
        <v>1</v>
      </c>
    </row>
    <row r="529" spans="1:2" x14ac:dyDescent="0.25">
      <c r="A529" s="77" t="s">
        <v>443</v>
      </c>
      <c r="B529" s="2">
        <f t="shared" si="8"/>
        <v>1</v>
      </c>
    </row>
    <row r="530" spans="1:2" x14ac:dyDescent="0.25">
      <c r="A530" s="78" t="s">
        <v>412</v>
      </c>
      <c r="B530" s="2">
        <f t="shared" si="8"/>
        <v>1</v>
      </c>
    </row>
    <row r="531" spans="1:2" x14ac:dyDescent="0.25">
      <c r="A531" s="78" t="s">
        <v>444</v>
      </c>
      <c r="B531" s="2">
        <f t="shared" si="8"/>
        <v>1</v>
      </c>
    </row>
    <row r="532" spans="1:2" ht="29.25" x14ac:dyDescent="0.25">
      <c r="A532" s="77" t="s">
        <v>413</v>
      </c>
      <c r="B532" s="2">
        <f t="shared" si="8"/>
        <v>1</v>
      </c>
    </row>
    <row r="533" spans="1:2" ht="29.25" x14ac:dyDescent="0.25">
      <c r="A533" s="84" t="s">
        <v>414</v>
      </c>
      <c r="B533" s="2">
        <f t="shared" si="8"/>
        <v>1</v>
      </c>
    </row>
    <row r="534" spans="1:2" x14ac:dyDescent="0.25">
      <c r="A534" s="77" t="s">
        <v>204</v>
      </c>
      <c r="B534" s="2">
        <f t="shared" si="8"/>
        <v>2</v>
      </c>
    </row>
    <row r="535" spans="1:2" x14ac:dyDescent="0.25">
      <c r="A535" s="77" t="s">
        <v>415</v>
      </c>
      <c r="B535" s="2">
        <f t="shared" si="8"/>
        <v>1</v>
      </c>
    </row>
    <row r="536" spans="1:2" x14ac:dyDescent="0.25">
      <c r="A536" s="77" t="s">
        <v>89</v>
      </c>
      <c r="B536" s="2">
        <f t="shared" si="8"/>
        <v>3</v>
      </c>
    </row>
    <row r="537" spans="1:2" x14ac:dyDescent="0.25">
      <c r="A537" s="77" t="s">
        <v>90</v>
      </c>
      <c r="B537" s="2">
        <f t="shared" si="8"/>
        <v>3</v>
      </c>
    </row>
    <row r="538" spans="1:2" x14ac:dyDescent="0.25">
      <c r="A538" s="78" t="s">
        <v>416</v>
      </c>
      <c r="B538" s="2">
        <f t="shared" si="8"/>
        <v>1</v>
      </c>
    </row>
    <row r="539" spans="1:2" x14ac:dyDescent="0.25">
      <c r="A539" s="82" t="s">
        <v>445</v>
      </c>
      <c r="B539" s="2">
        <f t="shared" si="8"/>
        <v>2</v>
      </c>
    </row>
    <row r="540" spans="1:2" ht="29.25" x14ac:dyDescent="0.25">
      <c r="A540" s="78" t="s">
        <v>417</v>
      </c>
      <c r="B540" s="2">
        <f t="shared" si="8"/>
        <v>1</v>
      </c>
    </row>
    <row r="541" spans="1:2" ht="29.25" x14ac:dyDescent="0.25">
      <c r="A541" s="77" t="s">
        <v>94</v>
      </c>
      <c r="B541" s="2">
        <f t="shared" si="8"/>
        <v>7</v>
      </c>
    </row>
    <row r="542" spans="1:2" x14ac:dyDescent="0.25">
      <c r="A542" s="78" t="s">
        <v>165</v>
      </c>
      <c r="B542" s="2">
        <f t="shared" si="8"/>
        <v>2</v>
      </c>
    </row>
    <row r="543" spans="1:2" x14ac:dyDescent="0.25">
      <c r="A543" s="77" t="s">
        <v>446</v>
      </c>
      <c r="B543" s="2">
        <f t="shared" si="8"/>
        <v>1</v>
      </c>
    </row>
    <row r="544" spans="1:2" ht="29.25" x14ac:dyDescent="0.25">
      <c r="A544" s="77" t="s">
        <v>447</v>
      </c>
      <c r="B544" s="2">
        <f t="shared" si="8"/>
        <v>2</v>
      </c>
    </row>
    <row r="545" spans="1:2" x14ac:dyDescent="0.25">
      <c r="A545" s="82" t="s">
        <v>418</v>
      </c>
      <c r="B545" s="2">
        <f t="shared" si="8"/>
        <v>1</v>
      </c>
    </row>
    <row r="546" spans="1:2" x14ac:dyDescent="0.25">
      <c r="A546" s="80" t="s">
        <v>419</v>
      </c>
      <c r="B546" s="2">
        <f t="shared" si="8"/>
        <v>1</v>
      </c>
    </row>
    <row r="547" spans="1:2" x14ac:dyDescent="0.25">
      <c r="A547" s="77" t="s">
        <v>420</v>
      </c>
      <c r="B547" s="2">
        <f t="shared" si="8"/>
        <v>1</v>
      </c>
    </row>
    <row r="548" spans="1:2" x14ac:dyDescent="0.25">
      <c r="A548" s="77" t="s">
        <v>421</v>
      </c>
      <c r="B548" s="2">
        <f t="shared" si="8"/>
        <v>1</v>
      </c>
    </row>
    <row r="549" spans="1:2" x14ac:dyDescent="0.25">
      <c r="A549" s="78" t="s">
        <v>448</v>
      </c>
      <c r="B549" s="2">
        <f t="shared" si="8"/>
        <v>1</v>
      </c>
    </row>
    <row r="550" spans="1:2" x14ac:dyDescent="0.25">
      <c r="A550" s="78" t="s">
        <v>422</v>
      </c>
      <c r="B550" s="2">
        <f t="shared" si="8"/>
        <v>1</v>
      </c>
    </row>
    <row r="551" spans="1:2" ht="15.75" x14ac:dyDescent="0.25">
      <c r="A551" s="85" t="s">
        <v>489</v>
      </c>
      <c r="B551" s="2">
        <f t="shared" si="8"/>
        <v>2</v>
      </c>
    </row>
    <row r="552" spans="1:2" ht="30.75" x14ac:dyDescent="0.25">
      <c r="A552" s="86" t="s">
        <v>490</v>
      </c>
      <c r="B552" s="2">
        <f t="shared" si="8"/>
        <v>1</v>
      </c>
    </row>
    <row r="553" spans="1:2" ht="15.75" x14ac:dyDescent="0.25">
      <c r="A553" s="87" t="s">
        <v>449</v>
      </c>
      <c r="B553" s="2">
        <f t="shared" si="8"/>
        <v>2</v>
      </c>
    </row>
    <row r="554" spans="1:2" ht="15.75" x14ac:dyDescent="0.25">
      <c r="A554" s="87" t="s">
        <v>449</v>
      </c>
      <c r="B554" s="2">
        <f t="shared" si="8"/>
        <v>2</v>
      </c>
    </row>
    <row r="555" spans="1:2" ht="15.75" x14ac:dyDescent="0.25">
      <c r="A555" s="88" t="s">
        <v>426</v>
      </c>
      <c r="B555" s="2">
        <f t="shared" si="8"/>
        <v>3</v>
      </c>
    </row>
    <row r="556" spans="1:2" ht="15.75" x14ac:dyDescent="0.25">
      <c r="A556" s="87" t="s">
        <v>450</v>
      </c>
      <c r="B556" s="2">
        <f t="shared" si="8"/>
        <v>2</v>
      </c>
    </row>
    <row r="557" spans="1:2" ht="15.75" x14ac:dyDescent="0.25">
      <c r="A557" s="88" t="s">
        <v>103</v>
      </c>
      <c r="B557" s="2">
        <f t="shared" si="8"/>
        <v>2</v>
      </c>
    </row>
    <row r="558" spans="1:2" ht="15.75" x14ac:dyDescent="0.25">
      <c r="A558" s="88" t="s">
        <v>491</v>
      </c>
      <c r="B558" s="2">
        <f t="shared" si="8"/>
        <v>2</v>
      </c>
    </row>
    <row r="559" spans="1:2" ht="30.75" x14ac:dyDescent="0.25">
      <c r="A559" s="86" t="s">
        <v>451</v>
      </c>
      <c r="B559" s="2">
        <f t="shared" si="8"/>
        <v>1</v>
      </c>
    </row>
    <row r="560" spans="1:2" ht="45.75" x14ac:dyDescent="0.25">
      <c r="A560" s="88" t="s">
        <v>492</v>
      </c>
      <c r="B560" s="2">
        <f t="shared" si="8"/>
        <v>1</v>
      </c>
    </row>
    <row r="561" spans="1:2" ht="15.75" x14ac:dyDescent="0.25">
      <c r="A561" s="85" t="s">
        <v>493</v>
      </c>
      <c r="B561" s="2">
        <f t="shared" si="8"/>
        <v>1</v>
      </c>
    </row>
    <row r="562" spans="1:2" ht="15.75" x14ac:dyDescent="0.25">
      <c r="A562" s="88" t="s">
        <v>452</v>
      </c>
      <c r="B562" s="2">
        <f t="shared" si="8"/>
        <v>1</v>
      </c>
    </row>
    <row r="563" spans="1:2" ht="15.75" x14ac:dyDescent="0.25">
      <c r="A563" s="88" t="s">
        <v>494</v>
      </c>
      <c r="B563" s="2">
        <f t="shared" si="8"/>
        <v>1</v>
      </c>
    </row>
    <row r="564" spans="1:2" ht="15.75" x14ac:dyDescent="0.25">
      <c r="A564" s="88" t="s">
        <v>453</v>
      </c>
      <c r="B564" s="2">
        <f t="shared" si="8"/>
        <v>1</v>
      </c>
    </row>
    <row r="565" spans="1:2" ht="30.75" x14ac:dyDescent="0.25">
      <c r="A565" s="87" t="s">
        <v>454</v>
      </c>
      <c r="B565" s="2">
        <f t="shared" si="8"/>
        <v>1</v>
      </c>
    </row>
    <row r="566" spans="1:2" ht="15.75" x14ac:dyDescent="0.25">
      <c r="A566" s="88" t="s">
        <v>495</v>
      </c>
      <c r="B566" s="2">
        <f t="shared" si="8"/>
        <v>1</v>
      </c>
    </row>
    <row r="567" spans="1:2" ht="15.75" x14ac:dyDescent="0.25">
      <c r="A567" s="88" t="s">
        <v>225</v>
      </c>
      <c r="B567" s="2">
        <f t="shared" si="8"/>
        <v>2</v>
      </c>
    </row>
    <row r="568" spans="1:2" ht="15.75" x14ac:dyDescent="0.25">
      <c r="A568" s="88" t="s">
        <v>496</v>
      </c>
      <c r="B568" s="2">
        <f t="shared" si="8"/>
        <v>1</v>
      </c>
    </row>
    <row r="569" spans="1:2" ht="15.75" x14ac:dyDescent="0.25">
      <c r="A569" s="89" t="s">
        <v>181</v>
      </c>
      <c r="B569" s="2">
        <f t="shared" si="8"/>
        <v>5</v>
      </c>
    </row>
    <row r="570" spans="1:2" ht="15.75" x14ac:dyDescent="0.25">
      <c r="A570" s="88" t="s">
        <v>497</v>
      </c>
      <c r="B570" s="2">
        <f t="shared" si="8"/>
        <v>1</v>
      </c>
    </row>
    <row r="571" spans="1:2" ht="15.75" x14ac:dyDescent="0.25">
      <c r="A571" s="88" t="s">
        <v>498</v>
      </c>
      <c r="B571" s="2">
        <f t="shared" si="8"/>
        <v>3</v>
      </c>
    </row>
    <row r="572" spans="1:2" ht="15.75" x14ac:dyDescent="0.25">
      <c r="A572" s="88" t="s">
        <v>498</v>
      </c>
      <c r="B572" s="2">
        <f t="shared" si="8"/>
        <v>3</v>
      </c>
    </row>
    <row r="573" spans="1:2" ht="15.75" x14ac:dyDescent="0.25">
      <c r="A573" s="88" t="s">
        <v>369</v>
      </c>
      <c r="B573" s="2">
        <f t="shared" si="8"/>
        <v>2</v>
      </c>
    </row>
    <row r="574" spans="1:2" ht="15.75" x14ac:dyDescent="0.25">
      <c r="A574" s="87" t="s">
        <v>499</v>
      </c>
      <c r="B574" s="2">
        <f t="shared" si="8"/>
        <v>2</v>
      </c>
    </row>
    <row r="575" spans="1:2" ht="15.75" x14ac:dyDescent="0.25">
      <c r="A575" s="88" t="s">
        <v>230</v>
      </c>
      <c r="B575" s="2">
        <f t="shared" si="8"/>
        <v>2</v>
      </c>
    </row>
    <row r="576" spans="1:2" ht="15.75" x14ac:dyDescent="0.25">
      <c r="A576" s="88" t="s">
        <v>325</v>
      </c>
      <c r="B576" s="2">
        <f t="shared" si="8"/>
        <v>2</v>
      </c>
    </row>
    <row r="577" spans="1:2" ht="15.75" x14ac:dyDescent="0.25">
      <c r="A577" s="88" t="s">
        <v>500</v>
      </c>
      <c r="B577" s="2">
        <f t="shared" si="8"/>
        <v>1</v>
      </c>
    </row>
    <row r="578" spans="1:2" ht="15.75" x14ac:dyDescent="0.25">
      <c r="A578" s="87" t="s">
        <v>501</v>
      </c>
      <c r="B578" s="2">
        <f t="shared" si="8"/>
        <v>1</v>
      </c>
    </row>
    <row r="579" spans="1:2" ht="15.75" x14ac:dyDescent="0.25">
      <c r="A579" s="89" t="s">
        <v>372</v>
      </c>
      <c r="B579" s="2">
        <f t="shared" ref="B579:B642" si="9">COUNTIF($A:$A,A579)</f>
        <v>2</v>
      </c>
    </row>
    <row r="580" spans="1:2" ht="15.75" x14ac:dyDescent="0.25">
      <c r="A580" s="88" t="s">
        <v>455</v>
      </c>
      <c r="B580" s="2">
        <f t="shared" si="9"/>
        <v>1</v>
      </c>
    </row>
    <row r="581" spans="1:2" ht="30.75" x14ac:dyDescent="0.25">
      <c r="A581" s="88" t="s">
        <v>456</v>
      </c>
      <c r="B581" s="2">
        <f t="shared" si="9"/>
        <v>1</v>
      </c>
    </row>
    <row r="582" spans="1:2" ht="15.75" x14ac:dyDescent="0.25">
      <c r="A582" s="88" t="s">
        <v>457</v>
      </c>
      <c r="B582" s="2">
        <f t="shared" si="9"/>
        <v>1</v>
      </c>
    </row>
    <row r="583" spans="1:2" ht="15.75" x14ac:dyDescent="0.25">
      <c r="A583" s="88" t="s">
        <v>21</v>
      </c>
      <c r="B583" s="2">
        <f t="shared" si="9"/>
        <v>2</v>
      </c>
    </row>
    <row r="584" spans="1:2" ht="30.75" x14ac:dyDescent="0.25">
      <c r="A584" s="85" t="s">
        <v>502</v>
      </c>
      <c r="B584" s="2">
        <f t="shared" si="9"/>
        <v>1</v>
      </c>
    </row>
    <row r="585" spans="1:2" ht="15.75" x14ac:dyDescent="0.25">
      <c r="A585" s="87" t="s">
        <v>458</v>
      </c>
      <c r="B585" s="2">
        <f t="shared" si="9"/>
        <v>1</v>
      </c>
    </row>
    <row r="586" spans="1:2" ht="15.75" x14ac:dyDescent="0.25">
      <c r="A586" s="88" t="s">
        <v>503</v>
      </c>
      <c r="B586" s="2">
        <f t="shared" si="9"/>
        <v>1</v>
      </c>
    </row>
    <row r="587" spans="1:2" ht="15.75" x14ac:dyDescent="0.25">
      <c r="A587" s="88" t="s">
        <v>504</v>
      </c>
      <c r="B587" s="2">
        <f t="shared" si="9"/>
        <v>1</v>
      </c>
    </row>
    <row r="588" spans="1:2" ht="15.75" x14ac:dyDescent="0.25">
      <c r="A588" s="88" t="s">
        <v>505</v>
      </c>
      <c r="B588" s="2">
        <f t="shared" si="9"/>
        <v>1</v>
      </c>
    </row>
    <row r="589" spans="1:2" ht="15.75" x14ac:dyDescent="0.25">
      <c r="A589" s="90" t="s">
        <v>245</v>
      </c>
      <c r="B589" s="2">
        <f t="shared" si="9"/>
        <v>2</v>
      </c>
    </row>
    <row r="590" spans="1:2" ht="30.75" x14ac:dyDescent="0.25">
      <c r="A590" s="88" t="s">
        <v>459</v>
      </c>
      <c r="B590" s="2">
        <f t="shared" si="9"/>
        <v>1</v>
      </c>
    </row>
    <row r="591" spans="1:2" ht="15.75" x14ac:dyDescent="0.25">
      <c r="A591" s="88" t="s">
        <v>460</v>
      </c>
      <c r="B591" s="2">
        <f t="shared" si="9"/>
        <v>1</v>
      </c>
    </row>
    <row r="592" spans="1:2" ht="30.75" x14ac:dyDescent="0.25">
      <c r="A592" s="88" t="s">
        <v>506</v>
      </c>
      <c r="B592" s="2">
        <f t="shared" si="9"/>
        <v>1</v>
      </c>
    </row>
    <row r="593" spans="1:2" ht="15.75" x14ac:dyDescent="0.25">
      <c r="A593" s="88" t="s">
        <v>507</v>
      </c>
      <c r="B593" s="2">
        <f t="shared" si="9"/>
        <v>1</v>
      </c>
    </row>
    <row r="594" spans="1:2" ht="30.75" x14ac:dyDescent="0.25">
      <c r="A594" s="86" t="s">
        <v>508</v>
      </c>
      <c r="B594" s="2">
        <f t="shared" si="9"/>
        <v>1</v>
      </c>
    </row>
    <row r="595" spans="1:2" ht="15.75" x14ac:dyDescent="0.25">
      <c r="A595" s="88" t="s">
        <v>461</v>
      </c>
      <c r="B595" s="2">
        <f t="shared" si="9"/>
        <v>2</v>
      </c>
    </row>
    <row r="596" spans="1:2" ht="15.75" x14ac:dyDescent="0.25">
      <c r="A596" s="87" t="s">
        <v>462</v>
      </c>
      <c r="B596" s="2">
        <f t="shared" si="9"/>
        <v>1</v>
      </c>
    </row>
    <row r="597" spans="1:2" ht="15.75" x14ac:dyDescent="0.25">
      <c r="A597" s="88" t="s">
        <v>509</v>
      </c>
      <c r="B597" s="2">
        <f t="shared" si="9"/>
        <v>1</v>
      </c>
    </row>
    <row r="598" spans="1:2" ht="15.75" x14ac:dyDescent="0.25">
      <c r="A598" s="88" t="s">
        <v>254</v>
      </c>
      <c r="B598" s="2">
        <f t="shared" si="9"/>
        <v>2</v>
      </c>
    </row>
    <row r="599" spans="1:2" ht="15.75" x14ac:dyDescent="0.25">
      <c r="A599" s="88" t="s">
        <v>463</v>
      </c>
      <c r="B599" s="2">
        <f t="shared" si="9"/>
        <v>1</v>
      </c>
    </row>
    <row r="600" spans="1:2" ht="15.75" x14ac:dyDescent="0.25">
      <c r="A600" s="86" t="s">
        <v>464</v>
      </c>
      <c r="B600" s="2">
        <f t="shared" si="9"/>
        <v>1</v>
      </c>
    </row>
    <row r="601" spans="1:2" ht="15.75" x14ac:dyDescent="0.25">
      <c r="A601" s="88" t="s">
        <v>510</v>
      </c>
      <c r="B601" s="2">
        <f t="shared" si="9"/>
        <v>1</v>
      </c>
    </row>
    <row r="602" spans="1:2" ht="15.75" x14ac:dyDescent="0.25">
      <c r="A602" s="87" t="s">
        <v>387</v>
      </c>
      <c r="B602" s="2">
        <f t="shared" si="9"/>
        <v>2</v>
      </c>
    </row>
    <row r="603" spans="1:2" ht="15.75" x14ac:dyDescent="0.25">
      <c r="A603" s="88" t="s">
        <v>465</v>
      </c>
      <c r="B603" s="2">
        <f t="shared" si="9"/>
        <v>1</v>
      </c>
    </row>
    <row r="604" spans="1:2" ht="15.75" x14ac:dyDescent="0.25">
      <c r="A604" s="88" t="s">
        <v>511</v>
      </c>
      <c r="B604" s="2">
        <f t="shared" si="9"/>
        <v>1</v>
      </c>
    </row>
    <row r="605" spans="1:2" ht="15.75" x14ac:dyDescent="0.25">
      <c r="A605" s="88" t="s">
        <v>128</v>
      </c>
      <c r="B605" s="2">
        <f t="shared" si="9"/>
        <v>4</v>
      </c>
    </row>
    <row r="606" spans="1:2" ht="15.75" x14ac:dyDescent="0.25">
      <c r="A606" s="88" t="s">
        <v>466</v>
      </c>
      <c r="B606" s="2">
        <f t="shared" si="9"/>
        <v>1</v>
      </c>
    </row>
    <row r="607" spans="1:2" ht="30.75" x14ac:dyDescent="0.25">
      <c r="A607" s="88" t="s">
        <v>512</v>
      </c>
      <c r="B607" s="2">
        <f t="shared" si="9"/>
        <v>1</v>
      </c>
    </row>
    <row r="608" spans="1:2" ht="30.75" x14ac:dyDescent="0.25">
      <c r="A608" s="88" t="s">
        <v>467</v>
      </c>
      <c r="B608" s="2">
        <f t="shared" si="9"/>
        <v>1</v>
      </c>
    </row>
    <row r="609" spans="1:2" ht="15.75" x14ac:dyDescent="0.25">
      <c r="A609" s="88" t="s">
        <v>194</v>
      </c>
      <c r="B609" s="2">
        <f t="shared" si="9"/>
        <v>3</v>
      </c>
    </row>
    <row r="610" spans="1:2" ht="15.75" x14ac:dyDescent="0.25">
      <c r="A610" s="88" t="s">
        <v>468</v>
      </c>
      <c r="B610" s="2">
        <f t="shared" si="9"/>
        <v>1</v>
      </c>
    </row>
    <row r="611" spans="1:2" ht="30.75" x14ac:dyDescent="0.25">
      <c r="A611" s="88" t="s">
        <v>469</v>
      </c>
      <c r="B611" s="2">
        <f t="shared" si="9"/>
        <v>1</v>
      </c>
    </row>
    <row r="612" spans="1:2" ht="15.75" x14ac:dyDescent="0.25">
      <c r="A612" s="88" t="s">
        <v>513</v>
      </c>
      <c r="B612" s="2">
        <f t="shared" si="9"/>
        <v>1</v>
      </c>
    </row>
    <row r="613" spans="1:2" ht="15.75" x14ac:dyDescent="0.25">
      <c r="A613" s="88" t="s">
        <v>333</v>
      </c>
      <c r="B613" s="2">
        <f t="shared" si="9"/>
        <v>2</v>
      </c>
    </row>
    <row r="614" spans="1:2" ht="15.75" x14ac:dyDescent="0.25">
      <c r="A614" s="88" t="s">
        <v>514</v>
      </c>
      <c r="B614" s="2">
        <f t="shared" si="9"/>
        <v>1</v>
      </c>
    </row>
    <row r="615" spans="1:2" ht="15.75" x14ac:dyDescent="0.25">
      <c r="A615" s="90" t="s">
        <v>432</v>
      </c>
      <c r="B615" s="2">
        <f t="shared" si="9"/>
        <v>2</v>
      </c>
    </row>
    <row r="616" spans="1:2" ht="15.75" x14ac:dyDescent="0.25">
      <c r="A616" s="88" t="s">
        <v>470</v>
      </c>
      <c r="B616" s="2">
        <f t="shared" si="9"/>
        <v>1</v>
      </c>
    </row>
    <row r="617" spans="1:2" ht="15.75" x14ac:dyDescent="0.25">
      <c r="A617" s="87" t="s">
        <v>471</v>
      </c>
      <c r="B617" s="2">
        <f t="shared" si="9"/>
        <v>3</v>
      </c>
    </row>
    <row r="618" spans="1:2" ht="15.75" x14ac:dyDescent="0.25">
      <c r="A618" s="88" t="s">
        <v>133</v>
      </c>
      <c r="B618" s="2">
        <f t="shared" si="9"/>
        <v>4</v>
      </c>
    </row>
    <row r="619" spans="1:2" ht="30.75" x14ac:dyDescent="0.25">
      <c r="A619" s="88" t="s">
        <v>472</v>
      </c>
      <c r="B619" s="2">
        <f t="shared" si="9"/>
        <v>1</v>
      </c>
    </row>
    <row r="620" spans="1:2" ht="15.75" x14ac:dyDescent="0.25">
      <c r="A620" s="88" t="s">
        <v>515</v>
      </c>
      <c r="B620" s="2">
        <f t="shared" si="9"/>
        <v>1</v>
      </c>
    </row>
    <row r="621" spans="1:2" ht="30.75" x14ac:dyDescent="0.25">
      <c r="A621" s="88" t="s">
        <v>516</v>
      </c>
      <c r="B621" s="2">
        <f t="shared" si="9"/>
        <v>2</v>
      </c>
    </row>
    <row r="622" spans="1:2" ht="15.75" x14ac:dyDescent="0.25">
      <c r="A622" s="88" t="s">
        <v>517</v>
      </c>
      <c r="B622" s="2">
        <f t="shared" si="9"/>
        <v>1</v>
      </c>
    </row>
    <row r="623" spans="1:2" ht="15.75" x14ac:dyDescent="0.25">
      <c r="A623" s="88" t="s">
        <v>518</v>
      </c>
      <c r="B623" s="2">
        <f t="shared" si="9"/>
        <v>1</v>
      </c>
    </row>
    <row r="624" spans="1:2" ht="45.75" x14ac:dyDescent="0.25">
      <c r="A624" s="89" t="s">
        <v>519</v>
      </c>
      <c r="B624" s="2">
        <f t="shared" si="9"/>
        <v>1</v>
      </c>
    </row>
    <row r="625" spans="1:2" ht="15.75" x14ac:dyDescent="0.25">
      <c r="A625" s="85" t="s">
        <v>433</v>
      </c>
      <c r="B625" s="2">
        <f t="shared" si="9"/>
        <v>2</v>
      </c>
    </row>
    <row r="626" spans="1:2" ht="15.75" x14ac:dyDescent="0.25">
      <c r="A626" s="88" t="s">
        <v>520</v>
      </c>
      <c r="B626" s="2">
        <f t="shared" si="9"/>
        <v>1</v>
      </c>
    </row>
    <row r="627" spans="1:2" ht="15.75" x14ac:dyDescent="0.25">
      <c r="A627" s="88" t="s">
        <v>521</v>
      </c>
      <c r="B627" s="2">
        <f t="shared" si="9"/>
        <v>1</v>
      </c>
    </row>
    <row r="628" spans="1:2" ht="15.75" x14ac:dyDescent="0.25">
      <c r="A628" s="88" t="s">
        <v>473</v>
      </c>
      <c r="B628" s="2">
        <f t="shared" si="9"/>
        <v>1</v>
      </c>
    </row>
    <row r="629" spans="1:2" ht="15.75" x14ac:dyDescent="0.25">
      <c r="A629" s="88" t="s">
        <v>198</v>
      </c>
      <c r="B629" s="2">
        <f t="shared" si="9"/>
        <v>2</v>
      </c>
    </row>
    <row r="630" spans="1:2" ht="15.75" x14ac:dyDescent="0.25">
      <c r="A630" s="88" t="s">
        <v>522</v>
      </c>
      <c r="B630" s="2">
        <f t="shared" si="9"/>
        <v>1</v>
      </c>
    </row>
    <row r="631" spans="1:2" ht="15.75" x14ac:dyDescent="0.25">
      <c r="A631" s="88" t="s">
        <v>523</v>
      </c>
      <c r="B631" s="2">
        <f t="shared" si="9"/>
        <v>1</v>
      </c>
    </row>
    <row r="632" spans="1:2" ht="15.75" x14ac:dyDescent="0.25">
      <c r="A632" s="85" t="s">
        <v>524</v>
      </c>
      <c r="B632" s="2">
        <f t="shared" si="9"/>
        <v>1</v>
      </c>
    </row>
    <row r="633" spans="1:2" ht="15.75" x14ac:dyDescent="0.25">
      <c r="A633" s="89" t="s">
        <v>525</v>
      </c>
      <c r="B633" s="2">
        <f t="shared" si="9"/>
        <v>2</v>
      </c>
    </row>
    <row r="634" spans="1:2" ht="30.75" x14ac:dyDescent="0.25">
      <c r="A634" s="88" t="s">
        <v>526</v>
      </c>
      <c r="B634" s="2">
        <f t="shared" si="9"/>
        <v>1</v>
      </c>
    </row>
    <row r="635" spans="1:2" ht="15.75" x14ac:dyDescent="0.25">
      <c r="A635" s="87" t="s">
        <v>527</v>
      </c>
      <c r="B635" s="2">
        <f t="shared" si="9"/>
        <v>1</v>
      </c>
    </row>
    <row r="636" spans="1:2" ht="15.75" x14ac:dyDescent="0.25">
      <c r="A636" s="88" t="s">
        <v>474</v>
      </c>
      <c r="B636" s="2">
        <f t="shared" si="9"/>
        <v>1</v>
      </c>
    </row>
    <row r="637" spans="1:2" ht="15.75" x14ac:dyDescent="0.25">
      <c r="A637" s="88" t="s">
        <v>528</v>
      </c>
      <c r="B637" s="2">
        <f t="shared" si="9"/>
        <v>1</v>
      </c>
    </row>
    <row r="638" spans="1:2" ht="30.75" x14ac:dyDescent="0.25">
      <c r="A638" s="88" t="s">
        <v>529</v>
      </c>
      <c r="B638" s="2">
        <f t="shared" si="9"/>
        <v>2</v>
      </c>
    </row>
    <row r="639" spans="1:2" ht="15.75" x14ac:dyDescent="0.25">
      <c r="A639" s="89" t="s">
        <v>279</v>
      </c>
      <c r="B639" s="2">
        <f t="shared" si="9"/>
        <v>3</v>
      </c>
    </row>
    <row r="640" spans="1:2" ht="15.75" x14ac:dyDescent="0.25">
      <c r="A640" s="88" t="s">
        <v>475</v>
      </c>
      <c r="B640" s="2">
        <f t="shared" si="9"/>
        <v>1</v>
      </c>
    </row>
    <row r="641" spans="1:2" ht="15.75" x14ac:dyDescent="0.25">
      <c r="A641" s="88" t="s">
        <v>476</v>
      </c>
      <c r="B641" s="2">
        <f t="shared" si="9"/>
        <v>1</v>
      </c>
    </row>
    <row r="642" spans="1:2" ht="15.75" x14ac:dyDescent="0.25">
      <c r="A642" s="86" t="s">
        <v>283</v>
      </c>
      <c r="B642" s="2">
        <f t="shared" si="9"/>
        <v>2</v>
      </c>
    </row>
    <row r="643" spans="1:2" ht="15.75" x14ac:dyDescent="0.25">
      <c r="A643" s="88" t="s">
        <v>477</v>
      </c>
      <c r="B643" s="2">
        <f t="shared" ref="B643:B706" si="10">COUNTIF($A:$A,A643)</f>
        <v>2</v>
      </c>
    </row>
    <row r="644" spans="1:2" ht="15.75" x14ac:dyDescent="0.25">
      <c r="A644" s="88" t="s">
        <v>530</v>
      </c>
      <c r="B644" s="2">
        <f t="shared" si="10"/>
        <v>1</v>
      </c>
    </row>
    <row r="645" spans="1:2" ht="30.75" x14ac:dyDescent="0.25">
      <c r="A645" s="88" t="s">
        <v>407</v>
      </c>
      <c r="B645" s="2">
        <f t="shared" si="10"/>
        <v>2</v>
      </c>
    </row>
    <row r="646" spans="1:2" ht="15.75" x14ac:dyDescent="0.25">
      <c r="A646" s="88" t="s">
        <v>531</v>
      </c>
      <c r="B646" s="2">
        <f t="shared" si="10"/>
        <v>1</v>
      </c>
    </row>
    <row r="647" spans="1:2" ht="15.75" x14ac:dyDescent="0.25">
      <c r="A647" s="86" t="s">
        <v>532</v>
      </c>
      <c r="B647" s="2">
        <f t="shared" si="10"/>
        <v>1</v>
      </c>
    </row>
    <row r="648" spans="1:2" ht="15.75" x14ac:dyDescent="0.25">
      <c r="A648" s="88" t="s">
        <v>478</v>
      </c>
      <c r="B648" s="2">
        <f t="shared" si="10"/>
        <v>1</v>
      </c>
    </row>
    <row r="649" spans="1:2" ht="15.75" x14ac:dyDescent="0.25">
      <c r="A649" s="88" t="s">
        <v>533</v>
      </c>
      <c r="B649" s="2">
        <f t="shared" si="10"/>
        <v>1</v>
      </c>
    </row>
    <row r="650" spans="1:2" ht="15.75" x14ac:dyDescent="0.25">
      <c r="A650" s="86" t="s">
        <v>479</v>
      </c>
      <c r="B650" s="2">
        <f t="shared" si="10"/>
        <v>1</v>
      </c>
    </row>
    <row r="651" spans="1:2" ht="15.75" x14ac:dyDescent="0.25">
      <c r="A651" s="88" t="s">
        <v>480</v>
      </c>
      <c r="B651" s="2">
        <f t="shared" si="10"/>
        <v>1</v>
      </c>
    </row>
    <row r="652" spans="1:2" ht="30.75" x14ac:dyDescent="0.25">
      <c r="A652" s="89" t="s">
        <v>291</v>
      </c>
      <c r="B652" s="2">
        <f t="shared" si="10"/>
        <v>2</v>
      </c>
    </row>
    <row r="653" spans="1:2" ht="15.75" x14ac:dyDescent="0.25">
      <c r="A653" s="88" t="s">
        <v>534</v>
      </c>
      <c r="B653" s="2">
        <f t="shared" si="10"/>
        <v>1</v>
      </c>
    </row>
    <row r="654" spans="1:2" ht="15.75" x14ac:dyDescent="0.25">
      <c r="A654" s="88" t="s">
        <v>481</v>
      </c>
      <c r="B654" s="2">
        <f t="shared" si="10"/>
        <v>1</v>
      </c>
    </row>
    <row r="655" spans="1:2" ht="15.75" x14ac:dyDescent="0.25">
      <c r="A655" s="89" t="s">
        <v>482</v>
      </c>
      <c r="B655" s="2">
        <f t="shared" si="10"/>
        <v>1</v>
      </c>
    </row>
    <row r="656" spans="1:2" ht="15.75" x14ac:dyDescent="0.25">
      <c r="A656" s="86" t="s">
        <v>483</v>
      </c>
      <c r="B656" s="2">
        <f t="shared" si="10"/>
        <v>1</v>
      </c>
    </row>
    <row r="657" spans="1:2" ht="15.75" x14ac:dyDescent="0.25">
      <c r="A657" s="86" t="s">
        <v>535</v>
      </c>
      <c r="B657" s="2">
        <f t="shared" si="10"/>
        <v>1</v>
      </c>
    </row>
    <row r="658" spans="1:2" ht="15.75" x14ac:dyDescent="0.25">
      <c r="A658" s="88" t="s">
        <v>484</v>
      </c>
      <c r="B658" s="2">
        <f t="shared" si="10"/>
        <v>1</v>
      </c>
    </row>
    <row r="659" spans="1:2" ht="15.75" x14ac:dyDescent="0.25">
      <c r="A659" s="88" t="s">
        <v>536</v>
      </c>
      <c r="B659" s="2">
        <f t="shared" si="10"/>
        <v>1</v>
      </c>
    </row>
    <row r="660" spans="1:2" ht="15.75" x14ac:dyDescent="0.25">
      <c r="A660" s="88" t="s">
        <v>537</v>
      </c>
      <c r="B660" s="2">
        <f t="shared" si="10"/>
        <v>1</v>
      </c>
    </row>
    <row r="661" spans="1:2" ht="15.75" x14ac:dyDescent="0.25">
      <c r="A661" s="88" t="s">
        <v>538</v>
      </c>
      <c r="B661" s="2">
        <f t="shared" si="10"/>
        <v>1</v>
      </c>
    </row>
    <row r="662" spans="1:2" ht="15.75" x14ac:dyDescent="0.25">
      <c r="A662" s="87" t="s">
        <v>539</v>
      </c>
      <c r="B662" s="2">
        <f t="shared" si="10"/>
        <v>1</v>
      </c>
    </row>
    <row r="663" spans="1:2" ht="30.75" x14ac:dyDescent="0.25">
      <c r="A663" s="88" t="s">
        <v>94</v>
      </c>
      <c r="B663" s="2">
        <f t="shared" si="10"/>
        <v>7</v>
      </c>
    </row>
    <row r="664" spans="1:2" ht="30.75" x14ac:dyDescent="0.25">
      <c r="A664" s="88" t="s">
        <v>305</v>
      </c>
      <c r="B664" s="2">
        <f t="shared" si="10"/>
        <v>3</v>
      </c>
    </row>
    <row r="665" spans="1:2" ht="15.75" x14ac:dyDescent="0.25">
      <c r="A665" s="88" t="s">
        <v>485</v>
      </c>
      <c r="B665" s="2">
        <f t="shared" si="10"/>
        <v>1</v>
      </c>
    </row>
    <row r="666" spans="1:2" ht="15.75" x14ac:dyDescent="0.25">
      <c r="A666" s="88" t="s">
        <v>540</v>
      </c>
      <c r="B666" s="2">
        <f t="shared" si="10"/>
        <v>1</v>
      </c>
    </row>
    <row r="667" spans="1:2" ht="15.75" x14ac:dyDescent="0.25">
      <c r="A667" s="88" t="s">
        <v>541</v>
      </c>
      <c r="B667" s="2">
        <f t="shared" si="10"/>
        <v>1</v>
      </c>
    </row>
    <row r="668" spans="1:2" ht="15.75" x14ac:dyDescent="0.25">
      <c r="A668" s="87" t="s">
        <v>486</v>
      </c>
      <c r="B668" s="2">
        <f t="shared" si="10"/>
        <v>2</v>
      </c>
    </row>
    <row r="669" spans="1:2" ht="15.75" x14ac:dyDescent="0.25">
      <c r="A669" s="88" t="s">
        <v>542</v>
      </c>
      <c r="B669" s="2">
        <f t="shared" si="10"/>
        <v>1</v>
      </c>
    </row>
    <row r="670" spans="1:2" ht="15.75" x14ac:dyDescent="0.25">
      <c r="A670" s="88" t="s">
        <v>487</v>
      </c>
      <c r="B670" s="2">
        <f t="shared" si="10"/>
        <v>1</v>
      </c>
    </row>
    <row r="671" spans="1:2" ht="15.75" x14ac:dyDescent="0.25">
      <c r="A671" s="88" t="s">
        <v>488</v>
      </c>
      <c r="B671" s="2">
        <f t="shared" si="10"/>
        <v>2</v>
      </c>
    </row>
    <row r="672" spans="1:2" ht="15.75" x14ac:dyDescent="0.25">
      <c r="A672" s="75" t="s">
        <v>489</v>
      </c>
      <c r="B672" s="2">
        <f t="shared" si="10"/>
        <v>2</v>
      </c>
    </row>
    <row r="673" spans="1:2" ht="15.75" x14ac:dyDescent="0.25">
      <c r="A673" s="70" t="s">
        <v>546</v>
      </c>
      <c r="B673" s="2">
        <f t="shared" si="10"/>
        <v>1</v>
      </c>
    </row>
    <row r="674" spans="1:2" x14ac:dyDescent="0.25">
      <c r="A674" s="68" t="s">
        <v>618</v>
      </c>
      <c r="B674" s="2">
        <f t="shared" si="10"/>
        <v>1</v>
      </c>
    </row>
    <row r="675" spans="1:2" ht="15.75" x14ac:dyDescent="0.25">
      <c r="A675" s="69" t="s">
        <v>547</v>
      </c>
      <c r="B675" s="2">
        <f t="shared" si="10"/>
        <v>1</v>
      </c>
    </row>
    <row r="676" spans="1:2" ht="15.75" x14ac:dyDescent="0.25">
      <c r="A676" s="69" t="s">
        <v>54</v>
      </c>
      <c r="B676" s="2">
        <f t="shared" si="10"/>
        <v>5</v>
      </c>
    </row>
    <row r="677" spans="1:2" ht="15.75" x14ac:dyDescent="0.25">
      <c r="A677" s="69" t="s">
        <v>548</v>
      </c>
      <c r="B677" s="2">
        <f t="shared" si="10"/>
        <v>1</v>
      </c>
    </row>
    <row r="678" spans="1:2" ht="15.75" x14ac:dyDescent="0.25">
      <c r="A678" s="70" t="s">
        <v>549</v>
      </c>
      <c r="B678" s="2">
        <f t="shared" si="10"/>
        <v>1</v>
      </c>
    </row>
    <row r="679" spans="1:2" x14ac:dyDescent="0.25">
      <c r="A679" s="91" t="s">
        <v>619</v>
      </c>
      <c r="B679" s="2">
        <f t="shared" si="10"/>
        <v>1</v>
      </c>
    </row>
    <row r="680" spans="1:2" x14ac:dyDescent="0.25">
      <c r="A680" s="91" t="s">
        <v>100</v>
      </c>
      <c r="B680" s="2">
        <f t="shared" si="10"/>
        <v>3</v>
      </c>
    </row>
    <row r="681" spans="1:2" ht="15.75" x14ac:dyDescent="0.25">
      <c r="A681" s="69" t="s">
        <v>426</v>
      </c>
      <c r="B681" s="2">
        <f t="shared" si="10"/>
        <v>3</v>
      </c>
    </row>
    <row r="682" spans="1:2" ht="15.75" x14ac:dyDescent="0.25">
      <c r="A682" s="70" t="s">
        <v>450</v>
      </c>
      <c r="B682" s="2">
        <f t="shared" si="10"/>
        <v>2</v>
      </c>
    </row>
    <row r="683" spans="1:2" ht="15.75" x14ac:dyDescent="0.25">
      <c r="A683" s="69" t="s">
        <v>550</v>
      </c>
      <c r="B683" s="2">
        <f t="shared" si="10"/>
        <v>1</v>
      </c>
    </row>
    <row r="684" spans="1:2" x14ac:dyDescent="0.25">
      <c r="A684" s="68" t="s">
        <v>491</v>
      </c>
      <c r="B684" s="2">
        <f t="shared" si="10"/>
        <v>2</v>
      </c>
    </row>
    <row r="685" spans="1:2" x14ac:dyDescent="0.25">
      <c r="A685" s="91" t="s">
        <v>620</v>
      </c>
      <c r="B685" s="2">
        <f t="shared" si="10"/>
        <v>1</v>
      </c>
    </row>
    <row r="686" spans="1:2" x14ac:dyDescent="0.25">
      <c r="A686" s="61" t="s">
        <v>643</v>
      </c>
      <c r="B686" s="2">
        <f t="shared" si="10"/>
        <v>1</v>
      </c>
    </row>
    <row r="687" spans="1:2" ht="15.75" x14ac:dyDescent="0.25">
      <c r="A687" s="69" t="s">
        <v>551</v>
      </c>
      <c r="B687" s="2">
        <f t="shared" si="10"/>
        <v>1</v>
      </c>
    </row>
    <row r="688" spans="1:2" x14ac:dyDescent="0.25">
      <c r="A688" s="61" t="s">
        <v>621</v>
      </c>
      <c r="B688" s="2">
        <f t="shared" si="10"/>
        <v>1</v>
      </c>
    </row>
    <row r="689" spans="1:2" x14ac:dyDescent="0.25">
      <c r="A689" s="91" t="s">
        <v>7</v>
      </c>
      <c r="B689" s="2">
        <f t="shared" si="10"/>
        <v>2</v>
      </c>
    </row>
    <row r="690" spans="1:2" ht="29.25" x14ac:dyDescent="0.25">
      <c r="A690" s="61" t="s">
        <v>622</v>
      </c>
      <c r="B690" s="2">
        <f t="shared" si="10"/>
        <v>1</v>
      </c>
    </row>
    <row r="691" spans="1:2" ht="30.75" x14ac:dyDescent="0.25">
      <c r="A691" s="70" t="s">
        <v>552</v>
      </c>
      <c r="B691" s="2">
        <f t="shared" si="10"/>
        <v>1</v>
      </c>
    </row>
    <row r="692" spans="1:2" ht="15.75" x14ac:dyDescent="0.25">
      <c r="A692" s="71" t="s">
        <v>553</v>
      </c>
      <c r="B692" s="2">
        <f t="shared" si="10"/>
        <v>1</v>
      </c>
    </row>
    <row r="693" spans="1:2" ht="15.75" x14ac:dyDescent="0.25">
      <c r="A693" s="70" t="s">
        <v>554</v>
      </c>
      <c r="B693" s="2">
        <f t="shared" si="10"/>
        <v>1</v>
      </c>
    </row>
    <row r="694" spans="1:2" ht="15.75" x14ac:dyDescent="0.25">
      <c r="A694" s="72" t="s">
        <v>181</v>
      </c>
      <c r="B694" s="2">
        <f t="shared" si="10"/>
        <v>5</v>
      </c>
    </row>
    <row r="695" spans="1:2" ht="15.75" x14ac:dyDescent="0.25">
      <c r="A695" s="69" t="s">
        <v>555</v>
      </c>
      <c r="B695" s="2">
        <f t="shared" si="10"/>
        <v>1</v>
      </c>
    </row>
    <row r="696" spans="1:2" x14ac:dyDescent="0.25">
      <c r="A696" s="68" t="s">
        <v>623</v>
      </c>
      <c r="B696" s="2">
        <f t="shared" si="10"/>
        <v>1</v>
      </c>
    </row>
    <row r="697" spans="1:2" ht="15.75" x14ac:dyDescent="0.25">
      <c r="A697" s="69" t="s">
        <v>185</v>
      </c>
      <c r="B697" s="2">
        <f t="shared" si="10"/>
        <v>4</v>
      </c>
    </row>
    <row r="698" spans="1:2" ht="15.75" x14ac:dyDescent="0.25">
      <c r="A698" s="70" t="s">
        <v>556</v>
      </c>
      <c r="B698" s="2">
        <f t="shared" si="10"/>
        <v>1</v>
      </c>
    </row>
    <row r="699" spans="1:2" ht="15.75" x14ac:dyDescent="0.25">
      <c r="A699" s="70" t="s">
        <v>557</v>
      </c>
      <c r="B699" s="2">
        <f t="shared" si="10"/>
        <v>1</v>
      </c>
    </row>
    <row r="700" spans="1:2" ht="15.75" x14ac:dyDescent="0.25">
      <c r="A700" s="76" t="s">
        <v>558</v>
      </c>
      <c r="B700" s="2">
        <f t="shared" si="10"/>
        <v>1</v>
      </c>
    </row>
    <row r="701" spans="1:2" ht="30.75" x14ac:dyDescent="0.25">
      <c r="A701" s="76" t="s">
        <v>559</v>
      </c>
      <c r="B701" s="2">
        <f t="shared" si="10"/>
        <v>1</v>
      </c>
    </row>
    <row r="702" spans="1:2" ht="15.75" x14ac:dyDescent="0.25">
      <c r="A702" s="69" t="s">
        <v>371</v>
      </c>
      <c r="B702" s="2">
        <f t="shared" si="10"/>
        <v>2</v>
      </c>
    </row>
    <row r="703" spans="1:2" ht="15.75" x14ac:dyDescent="0.25">
      <c r="A703" s="70" t="s">
        <v>560</v>
      </c>
      <c r="B703" s="2">
        <f t="shared" si="10"/>
        <v>1</v>
      </c>
    </row>
    <row r="704" spans="1:2" ht="30.75" x14ac:dyDescent="0.25">
      <c r="A704" s="69" t="s">
        <v>561</v>
      </c>
      <c r="B704" s="2">
        <f t="shared" si="10"/>
        <v>1</v>
      </c>
    </row>
    <row r="705" spans="1:2" ht="15.75" x14ac:dyDescent="0.25">
      <c r="A705" s="69" t="s">
        <v>562</v>
      </c>
      <c r="B705" s="2">
        <f t="shared" si="10"/>
        <v>1</v>
      </c>
    </row>
    <row r="706" spans="1:2" ht="15.75" x14ac:dyDescent="0.25">
      <c r="A706" s="72" t="s">
        <v>563</v>
      </c>
      <c r="B706" s="2">
        <f t="shared" si="10"/>
        <v>1</v>
      </c>
    </row>
    <row r="707" spans="1:2" ht="15.75" x14ac:dyDescent="0.25">
      <c r="A707" s="69" t="s">
        <v>234</v>
      </c>
      <c r="B707" s="2">
        <f t="shared" ref="B707:B770" si="11">COUNTIF($A:$A,A707)</f>
        <v>2</v>
      </c>
    </row>
    <row r="708" spans="1:2" ht="30.75" x14ac:dyDescent="0.25">
      <c r="A708" s="76" t="s">
        <v>564</v>
      </c>
      <c r="B708" s="2">
        <f t="shared" si="11"/>
        <v>2</v>
      </c>
    </row>
    <row r="709" spans="1:2" ht="45.75" x14ac:dyDescent="0.25">
      <c r="A709" s="69" t="s">
        <v>565</v>
      </c>
      <c r="B709" s="2">
        <f t="shared" si="11"/>
        <v>1</v>
      </c>
    </row>
    <row r="710" spans="1:2" x14ac:dyDescent="0.25">
      <c r="A710" s="91" t="s">
        <v>624</v>
      </c>
      <c r="B710" s="2">
        <f t="shared" si="11"/>
        <v>1</v>
      </c>
    </row>
    <row r="711" spans="1:2" ht="15.75" x14ac:dyDescent="0.25">
      <c r="A711" s="70" t="s">
        <v>566</v>
      </c>
      <c r="B711" s="2">
        <f t="shared" si="11"/>
        <v>1</v>
      </c>
    </row>
    <row r="712" spans="1:2" x14ac:dyDescent="0.25">
      <c r="A712" s="91" t="s">
        <v>625</v>
      </c>
      <c r="B712" s="2">
        <f t="shared" si="11"/>
        <v>1</v>
      </c>
    </row>
    <row r="713" spans="1:2" ht="15.75" x14ac:dyDescent="0.25">
      <c r="A713" s="70" t="s">
        <v>567</v>
      </c>
      <c r="B713" s="2">
        <f t="shared" si="11"/>
        <v>1</v>
      </c>
    </row>
    <row r="714" spans="1:2" ht="15.75" x14ac:dyDescent="0.25">
      <c r="A714" s="69" t="s">
        <v>568</v>
      </c>
      <c r="B714" s="2">
        <f t="shared" si="11"/>
        <v>1</v>
      </c>
    </row>
    <row r="715" spans="1:2" ht="30.75" x14ac:dyDescent="0.25">
      <c r="A715" s="69" t="s">
        <v>569</v>
      </c>
      <c r="B715" s="2">
        <f t="shared" si="11"/>
        <v>2</v>
      </c>
    </row>
    <row r="716" spans="1:2" ht="15.75" x14ac:dyDescent="0.25">
      <c r="A716" s="69" t="s">
        <v>570</v>
      </c>
      <c r="B716" s="2">
        <f t="shared" si="11"/>
        <v>1</v>
      </c>
    </row>
    <row r="717" spans="1:2" ht="15.75" x14ac:dyDescent="0.25">
      <c r="A717" s="70" t="s">
        <v>571</v>
      </c>
      <c r="B717" s="2">
        <f t="shared" si="11"/>
        <v>2</v>
      </c>
    </row>
    <row r="718" spans="1:2" ht="30.75" x14ac:dyDescent="0.25">
      <c r="A718" s="69" t="s">
        <v>572</v>
      </c>
      <c r="B718" s="2">
        <f t="shared" si="11"/>
        <v>1</v>
      </c>
    </row>
    <row r="719" spans="1:2" x14ac:dyDescent="0.25">
      <c r="A719" s="91" t="s">
        <v>626</v>
      </c>
      <c r="B719" s="2">
        <f t="shared" si="11"/>
        <v>1</v>
      </c>
    </row>
    <row r="720" spans="1:2" ht="15.75" x14ac:dyDescent="0.25">
      <c r="A720" s="75" t="s">
        <v>66</v>
      </c>
      <c r="B720" s="2">
        <f t="shared" si="11"/>
        <v>2</v>
      </c>
    </row>
    <row r="721" spans="1:2" ht="15.75" x14ac:dyDescent="0.25">
      <c r="A721" s="75" t="s">
        <v>573</v>
      </c>
      <c r="B721" s="2">
        <f t="shared" si="11"/>
        <v>1</v>
      </c>
    </row>
    <row r="722" spans="1:2" x14ac:dyDescent="0.25">
      <c r="A722" s="68" t="s">
        <v>627</v>
      </c>
      <c r="B722" s="2">
        <f t="shared" si="11"/>
        <v>2</v>
      </c>
    </row>
    <row r="723" spans="1:2" ht="15.75" x14ac:dyDescent="0.25">
      <c r="A723" s="76" t="s">
        <v>382</v>
      </c>
      <c r="B723" s="2">
        <f t="shared" si="11"/>
        <v>3</v>
      </c>
    </row>
    <row r="724" spans="1:2" ht="15.75" x14ac:dyDescent="0.25">
      <c r="A724" s="70" t="s">
        <v>574</v>
      </c>
      <c r="B724" s="2">
        <f t="shared" si="11"/>
        <v>1</v>
      </c>
    </row>
    <row r="725" spans="1:2" ht="15.75" x14ac:dyDescent="0.25">
      <c r="A725" s="70" t="s">
        <v>329</v>
      </c>
      <c r="B725" s="2">
        <f t="shared" si="11"/>
        <v>2</v>
      </c>
    </row>
    <row r="726" spans="1:2" ht="15.75" x14ac:dyDescent="0.25">
      <c r="A726" s="69" t="s">
        <v>461</v>
      </c>
      <c r="B726" s="2">
        <f t="shared" si="11"/>
        <v>2</v>
      </c>
    </row>
    <row r="727" spans="1:2" ht="15.75" x14ac:dyDescent="0.25">
      <c r="A727" s="70" t="s">
        <v>575</v>
      </c>
      <c r="B727" s="2">
        <f t="shared" si="11"/>
        <v>1</v>
      </c>
    </row>
    <row r="728" spans="1:2" ht="15.75" x14ac:dyDescent="0.25">
      <c r="A728" s="69" t="s">
        <v>576</v>
      </c>
      <c r="B728" s="2">
        <f t="shared" si="11"/>
        <v>1</v>
      </c>
    </row>
    <row r="729" spans="1:2" ht="15.75" x14ac:dyDescent="0.25">
      <c r="A729" s="69" t="s">
        <v>577</v>
      </c>
      <c r="B729" s="2">
        <f t="shared" si="11"/>
        <v>1</v>
      </c>
    </row>
    <row r="730" spans="1:2" ht="30.75" x14ac:dyDescent="0.25">
      <c r="A730" s="70" t="s">
        <v>578</v>
      </c>
      <c r="B730" s="2">
        <f t="shared" si="11"/>
        <v>2</v>
      </c>
    </row>
    <row r="731" spans="1:2" ht="15.75" x14ac:dyDescent="0.25">
      <c r="A731" s="69" t="s">
        <v>579</v>
      </c>
      <c r="B731" s="2">
        <f t="shared" si="11"/>
        <v>1</v>
      </c>
    </row>
    <row r="732" spans="1:2" ht="15.75" x14ac:dyDescent="0.25">
      <c r="A732" s="75" t="s">
        <v>580</v>
      </c>
      <c r="B732" s="2">
        <f t="shared" si="11"/>
        <v>2</v>
      </c>
    </row>
    <row r="733" spans="1:2" ht="15.75" x14ac:dyDescent="0.25">
      <c r="A733" s="75" t="s">
        <v>581</v>
      </c>
      <c r="B733" s="2">
        <f t="shared" si="11"/>
        <v>1</v>
      </c>
    </row>
    <row r="734" spans="1:2" x14ac:dyDescent="0.25">
      <c r="A734" s="61" t="s">
        <v>628</v>
      </c>
      <c r="B734" s="2">
        <f t="shared" si="11"/>
        <v>1</v>
      </c>
    </row>
    <row r="735" spans="1:2" ht="15.75" x14ac:dyDescent="0.25">
      <c r="A735" s="70" t="s">
        <v>582</v>
      </c>
      <c r="B735" s="2">
        <f t="shared" si="11"/>
        <v>1</v>
      </c>
    </row>
    <row r="736" spans="1:2" ht="15.75" x14ac:dyDescent="0.25">
      <c r="A736" s="70" t="s">
        <v>583</v>
      </c>
      <c r="B736" s="2">
        <f t="shared" si="11"/>
        <v>1</v>
      </c>
    </row>
    <row r="737" spans="1:2" ht="15.75" x14ac:dyDescent="0.25">
      <c r="A737" s="76" t="s">
        <v>584</v>
      </c>
      <c r="B737" s="2">
        <f t="shared" si="11"/>
        <v>1</v>
      </c>
    </row>
    <row r="738" spans="1:2" ht="15.75" x14ac:dyDescent="0.25">
      <c r="A738" s="70" t="s">
        <v>33</v>
      </c>
      <c r="B738" s="2">
        <f t="shared" si="11"/>
        <v>3</v>
      </c>
    </row>
    <row r="739" spans="1:2" ht="15.75" x14ac:dyDescent="0.25">
      <c r="A739" s="70" t="s">
        <v>585</v>
      </c>
      <c r="B739" s="2">
        <f t="shared" si="11"/>
        <v>1</v>
      </c>
    </row>
    <row r="740" spans="1:2" ht="29.25" x14ac:dyDescent="0.25">
      <c r="A740" s="91" t="s">
        <v>73</v>
      </c>
      <c r="B740" s="2">
        <f t="shared" si="11"/>
        <v>2</v>
      </c>
    </row>
    <row r="741" spans="1:2" ht="45.75" x14ac:dyDescent="0.25">
      <c r="A741" s="70" t="s">
        <v>586</v>
      </c>
      <c r="B741" s="2">
        <f t="shared" si="11"/>
        <v>1</v>
      </c>
    </row>
    <row r="742" spans="1:2" ht="15.75" x14ac:dyDescent="0.25">
      <c r="A742" s="70" t="s">
        <v>587</v>
      </c>
      <c r="B742" s="2">
        <f t="shared" si="11"/>
        <v>1</v>
      </c>
    </row>
    <row r="743" spans="1:2" ht="15.75" x14ac:dyDescent="0.25">
      <c r="A743" s="70" t="s">
        <v>471</v>
      </c>
      <c r="B743" s="2">
        <f t="shared" si="11"/>
        <v>3</v>
      </c>
    </row>
    <row r="744" spans="1:2" ht="15.75" x14ac:dyDescent="0.25">
      <c r="A744" s="69" t="s">
        <v>336</v>
      </c>
      <c r="B744" s="2">
        <f t="shared" si="11"/>
        <v>3</v>
      </c>
    </row>
    <row r="745" spans="1:2" ht="15.75" x14ac:dyDescent="0.25">
      <c r="A745" s="69" t="s">
        <v>133</v>
      </c>
      <c r="B745" s="2">
        <f t="shared" si="11"/>
        <v>4</v>
      </c>
    </row>
    <row r="746" spans="1:2" ht="15.75" x14ac:dyDescent="0.25">
      <c r="A746" s="69" t="s">
        <v>588</v>
      </c>
      <c r="B746" s="2">
        <f t="shared" si="11"/>
        <v>2</v>
      </c>
    </row>
    <row r="747" spans="1:2" ht="30.75" x14ac:dyDescent="0.25">
      <c r="A747" s="69" t="s">
        <v>516</v>
      </c>
      <c r="B747" s="2">
        <f t="shared" si="11"/>
        <v>2</v>
      </c>
    </row>
    <row r="748" spans="1:2" ht="15.75" x14ac:dyDescent="0.25">
      <c r="A748" s="70" t="s">
        <v>589</v>
      </c>
      <c r="B748" s="2">
        <f t="shared" si="11"/>
        <v>1</v>
      </c>
    </row>
    <row r="749" spans="1:2" ht="30.75" x14ac:dyDescent="0.25">
      <c r="A749" s="76" t="s">
        <v>590</v>
      </c>
      <c r="B749" s="2">
        <f t="shared" si="11"/>
        <v>1</v>
      </c>
    </row>
    <row r="750" spans="1:2" ht="15.75" x14ac:dyDescent="0.25">
      <c r="A750" s="69" t="s">
        <v>591</v>
      </c>
      <c r="B750" s="2">
        <f t="shared" si="11"/>
        <v>1</v>
      </c>
    </row>
    <row r="751" spans="1:2" ht="29.25" x14ac:dyDescent="0.25">
      <c r="A751" s="91" t="s">
        <v>629</v>
      </c>
      <c r="B751" s="2">
        <f t="shared" si="11"/>
        <v>1</v>
      </c>
    </row>
    <row r="752" spans="1:2" ht="15.75" x14ac:dyDescent="0.25">
      <c r="A752" s="70" t="s">
        <v>592</v>
      </c>
      <c r="B752" s="2">
        <f t="shared" si="11"/>
        <v>1</v>
      </c>
    </row>
    <row r="753" spans="1:2" ht="30.75" x14ac:dyDescent="0.25">
      <c r="A753" s="69" t="s">
        <v>593</v>
      </c>
      <c r="B753" s="2">
        <f t="shared" si="11"/>
        <v>1</v>
      </c>
    </row>
    <row r="754" spans="1:2" ht="15.75" x14ac:dyDescent="0.25">
      <c r="A754" s="70" t="s">
        <v>274</v>
      </c>
      <c r="B754" s="2">
        <f t="shared" si="11"/>
        <v>3</v>
      </c>
    </row>
    <row r="755" spans="1:2" ht="15.75" x14ac:dyDescent="0.25">
      <c r="A755" s="72" t="s">
        <v>525</v>
      </c>
      <c r="B755" s="2">
        <f t="shared" si="11"/>
        <v>2</v>
      </c>
    </row>
    <row r="756" spans="1:2" ht="30.75" x14ac:dyDescent="0.25">
      <c r="A756" s="76" t="s">
        <v>594</v>
      </c>
      <c r="B756" s="2">
        <f t="shared" si="11"/>
        <v>1</v>
      </c>
    </row>
    <row r="757" spans="1:2" ht="15.75" x14ac:dyDescent="0.25">
      <c r="A757" s="69" t="s">
        <v>595</v>
      </c>
      <c r="B757" s="2">
        <f t="shared" si="11"/>
        <v>1</v>
      </c>
    </row>
    <row r="758" spans="1:2" x14ac:dyDescent="0.25">
      <c r="A758" s="61" t="s">
        <v>401</v>
      </c>
      <c r="B758" s="2">
        <f t="shared" si="11"/>
        <v>2</v>
      </c>
    </row>
    <row r="759" spans="1:2" ht="30.75" x14ac:dyDescent="0.25">
      <c r="A759" s="69" t="s">
        <v>529</v>
      </c>
      <c r="B759" s="2">
        <f t="shared" si="11"/>
        <v>2</v>
      </c>
    </row>
    <row r="760" spans="1:2" ht="45.75" x14ac:dyDescent="0.25">
      <c r="A760" s="70" t="s">
        <v>596</v>
      </c>
      <c r="B760" s="2">
        <f t="shared" si="11"/>
        <v>1</v>
      </c>
    </row>
    <row r="761" spans="1:2" x14ac:dyDescent="0.25">
      <c r="A761" s="68" t="s">
        <v>278</v>
      </c>
      <c r="B761" s="2">
        <f t="shared" si="11"/>
        <v>2</v>
      </c>
    </row>
    <row r="762" spans="1:2" ht="15.75" x14ac:dyDescent="0.25">
      <c r="A762" s="72" t="s">
        <v>279</v>
      </c>
      <c r="B762" s="2">
        <f t="shared" si="11"/>
        <v>3</v>
      </c>
    </row>
    <row r="763" spans="1:2" ht="30.75" x14ac:dyDescent="0.25">
      <c r="A763" s="69" t="s">
        <v>597</v>
      </c>
      <c r="B763" s="2">
        <f t="shared" si="11"/>
        <v>1</v>
      </c>
    </row>
    <row r="764" spans="1:2" ht="15.75" x14ac:dyDescent="0.25">
      <c r="A764" s="69" t="s">
        <v>477</v>
      </c>
      <c r="B764" s="2">
        <f t="shared" si="11"/>
        <v>2</v>
      </c>
    </row>
    <row r="765" spans="1:2" ht="15.75" x14ac:dyDescent="0.25">
      <c r="A765" s="76" t="s">
        <v>146</v>
      </c>
      <c r="B765" s="2">
        <f t="shared" si="11"/>
        <v>3</v>
      </c>
    </row>
    <row r="766" spans="1:2" ht="15.75" x14ac:dyDescent="0.25">
      <c r="A766" s="70" t="s">
        <v>598</v>
      </c>
      <c r="B766" s="2">
        <f t="shared" si="11"/>
        <v>1</v>
      </c>
    </row>
    <row r="767" spans="1:2" ht="15.75" x14ac:dyDescent="0.25">
      <c r="A767" s="75" t="s">
        <v>599</v>
      </c>
      <c r="B767" s="2">
        <f t="shared" si="11"/>
        <v>1</v>
      </c>
    </row>
    <row r="768" spans="1:2" ht="15.75" x14ac:dyDescent="0.25">
      <c r="A768" s="69" t="s">
        <v>600</v>
      </c>
      <c r="B768" s="2">
        <f t="shared" si="11"/>
        <v>1</v>
      </c>
    </row>
    <row r="769" spans="1:2" ht="15.75" x14ac:dyDescent="0.25">
      <c r="A769" s="69" t="s">
        <v>601</v>
      </c>
      <c r="B769" s="2">
        <f t="shared" si="11"/>
        <v>1</v>
      </c>
    </row>
    <row r="770" spans="1:2" ht="30.75" x14ac:dyDescent="0.25">
      <c r="A770" s="69" t="s">
        <v>602</v>
      </c>
      <c r="B770" s="2">
        <f t="shared" si="11"/>
        <v>1</v>
      </c>
    </row>
    <row r="771" spans="1:2" ht="15.75" x14ac:dyDescent="0.25">
      <c r="A771" s="70" t="s">
        <v>603</v>
      </c>
      <c r="B771" s="2">
        <f t="shared" ref="B771:B834" si="12">COUNTIF($A:$A,A771)</f>
        <v>1</v>
      </c>
    </row>
    <row r="772" spans="1:2" x14ac:dyDescent="0.25">
      <c r="A772" s="61" t="s">
        <v>630</v>
      </c>
      <c r="B772" s="2">
        <f t="shared" si="12"/>
        <v>1</v>
      </c>
    </row>
    <row r="773" spans="1:2" ht="30.75" x14ac:dyDescent="0.25">
      <c r="A773" s="69" t="s">
        <v>409</v>
      </c>
      <c r="B773" s="2">
        <f t="shared" si="12"/>
        <v>2</v>
      </c>
    </row>
    <row r="774" spans="1:2" x14ac:dyDescent="0.25">
      <c r="A774" s="91" t="s">
        <v>631</v>
      </c>
      <c r="B774" s="2">
        <f t="shared" si="12"/>
        <v>1</v>
      </c>
    </row>
    <row r="775" spans="1:2" x14ac:dyDescent="0.25">
      <c r="A775" s="91" t="s">
        <v>151</v>
      </c>
      <c r="B775" s="2">
        <f t="shared" si="12"/>
        <v>2</v>
      </c>
    </row>
    <row r="776" spans="1:2" ht="15.75" x14ac:dyDescent="0.25">
      <c r="A776" s="71" t="s">
        <v>604</v>
      </c>
      <c r="B776" s="2">
        <f t="shared" si="12"/>
        <v>1</v>
      </c>
    </row>
    <row r="777" spans="1:2" ht="15.75" x14ac:dyDescent="0.25">
      <c r="A777" s="70" t="s">
        <v>605</v>
      </c>
      <c r="B777" s="2">
        <f t="shared" si="12"/>
        <v>1</v>
      </c>
    </row>
    <row r="778" spans="1:2" x14ac:dyDescent="0.25">
      <c r="A778" s="68" t="s">
        <v>632</v>
      </c>
      <c r="B778" s="2">
        <f t="shared" si="12"/>
        <v>1</v>
      </c>
    </row>
    <row r="779" spans="1:2" ht="15.75" x14ac:dyDescent="0.25">
      <c r="A779" s="69" t="s">
        <v>606</v>
      </c>
      <c r="B779" s="2">
        <f t="shared" si="12"/>
        <v>1</v>
      </c>
    </row>
    <row r="780" spans="1:2" ht="15.75" x14ac:dyDescent="0.25">
      <c r="A780" s="71" t="s">
        <v>607</v>
      </c>
      <c r="B780" s="2">
        <f t="shared" si="12"/>
        <v>1</v>
      </c>
    </row>
    <row r="781" spans="1:2" ht="30.75" x14ac:dyDescent="0.25">
      <c r="A781" s="70" t="s">
        <v>608</v>
      </c>
      <c r="B781" s="2">
        <f t="shared" si="12"/>
        <v>1</v>
      </c>
    </row>
    <row r="782" spans="1:2" x14ac:dyDescent="0.25">
      <c r="A782" s="91" t="s">
        <v>633</v>
      </c>
      <c r="B782" s="2">
        <f t="shared" si="12"/>
        <v>1</v>
      </c>
    </row>
    <row r="783" spans="1:2" ht="15.75" x14ac:dyDescent="0.25">
      <c r="A783" s="69" t="s">
        <v>609</v>
      </c>
      <c r="B783" s="2">
        <f t="shared" si="12"/>
        <v>1</v>
      </c>
    </row>
    <row r="784" spans="1:2" ht="29.25" x14ac:dyDescent="0.25">
      <c r="A784" s="68" t="s">
        <v>634</v>
      </c>
      <c r="B784" s="2">
        <f t="shared" si="12"/>
        <v>1</v>
      </c>
    </row>
    <row r="785" spans="1:2" ht="15.75" x14ac:dyDescent="0.25">
      <c r="A785" s="69" t="s">
        <v>610</v>
      </c>
      <c r="B785" s="2">
        <f t="shared" si="12"/>
        <v>1</v>
      </c>
    </row>
    <row r="786" spans="1:2" ht="15.75" x14ac:dyDescent="0.25">
      <c r="A786" s="72" t="s">
        <v>157</v>
      </c>
      <c r="B786" s="2">
        <f t="shared" si="12"/>
        <v>2</v>
      </c>
    </row>
    <row r="787" spans="1:2" ht="15.75" x14ac:dyDescent="0.25">
      <c r="A787" s="69" t="s">
        <v>611</v>
      </c>
      <c r="B787" s="2">
        <f t="shared" si="12"/>
        <v>1</v>
      </c>
    </row>
    <row r="788" spans="1:2" ht="30.75" x14ac:dyDescent="0.25">
      <c r="A788" s="92" t="s">
        <v>612</v>
      </c>
      <c r="B788" s="2">
        <f t="shared" si="12"/>
        <v>1</v>
      </c>
    </row>
    <row r="789" spans="1:2" ht="29.25" x14ac:dyDescent="0.25">
      <c r="A789" s="91" t="s">
        <v>635</v>
      </c>
      <c r="B789" s="2">
        <f t="shared" si="12"/>
        <v>1</v>
      </c>
    </row>
    <row r="790" spans="1:2" ht="15.75" x14ac:dyDescent="0.25">
      <c r="A790" s="70" t="s">
        <v>613</v>
      </c>
      <c r="B790" s="2">
        <f t="shared" si="12"/>
        <v>1</v>
      </c>
    </row>
    <row r="791" spans="1:2" ht="15.75" x14ac:dyDescent="0.25">
      <c r="A791" s="69" t="s">
        <v>90</v>
      </c>
      <c r="B791" s="2">
        <f t="shared" si="12"/>
        <v>3</v>
      </c>
    </row>
    <row r="792" spans="1:2" ht="15.75" x14ac:dyDescent="0.25">
      <c r="A792" s="69" t="s">
        <v>300</v>
      </c>
      <c r="B792" s="2">
        <f t="shared" si="12"/>
        <v>2</v>
      </c>
    </row>
    <row r="793" spans="1:2" ht="15.75" x14ac:dyDescent="0.25">
      <c r="A793" s="69" t="s">
        <v>301</v>
      </c>
      <c r="B793" s="2">
        <f t="shared" si="12"/>
        <v>2</v>
      </c>
    </row>
    <row r="794" spans="1:2" ht="15.75" x14ac:dyDescent="0.25">
      <c r="A794" s="70" t="s">
        <v>614</v>
      </c>
      <c r="B794" s="2">
        <f t="shared" si="12"/>
        <v>1</v>
      </c>
    </row>
    <row r="795" spans="1:2" ht="15.75" x14ac:dyDescent="0.25">
      <c r="A795" s="70" t="s">
        <v>615</v>
      </c>
      <c r="B795" s="2">
        <f t="shared" si="12"/>
        <v>1</v>
      </c>
    </row>
    <row r="796" spans="1:2" ht="30.75" x14ac:dyDescent="0.25">
      <c r="A796" s="69" t="s">
        <v>94</v>
      </c>
      <c r="B796" s="2">
        <f t="shared" si="12"/>
        <v>7</v>
      </c>
    </row>
    <row r="797" spans="1:2" x14ac:dyDescent="0.25">
      <c r="A797" s="68" t="s">
        <v>636</v>
      </c>
      <c r="B797" s="2">
        <f t="shared" si="12"/>
        <v>1</v>
      </c>
    </row>
    <row r="798" spans="1:2" ht="15.75" x14ac:dyDescent="0.25">
      <c r="A798" s="69" t="s">
        <v>616</v>
      </c>
      <c r="B798" s="2">
        <f t="shared" si="12"/>
        <v>1</v>
      </c>
    </row>
    <row r="799" spans="1:2" ht="30.75" x14ac:dyDescent="0.25">
      <c r="A799" s="69" t="s">
        <v>305</v>
      </c>
      <c r="B799" s="2">
        <f t="shared" si="12"/>
        <v>3</v>
      </c>
    </row>
    <row r="800" spans="1:2" ht="15.75" x14ac:dyDescent="0.25">
      <c r="A800" s="70" t="s">
        <v>306</v>
      </c>
      <c r="B800" s="2">
        <f t="shared" si="12"/>
        <v>2</v>
      </c>
    </row>
    <row r="801" spans="1:2" ht="30.75" x14ac:dyDescent="0.25">
      <c r="A801" s="69" t="s">
        <v>447</v>
      </c>
      <c r="B801" s="2">
        <f t="shared" si="12"/>
        <v>2</v>
      </c>
    </row>
    <row r="802" spans="1:2" x14ac:dyDescent="0.25">
      <c r="A802" s="91" t="s">
        <v>637</v>
      </c>
      <c r="B802" s="2">
        <f t="shared" si="12"/>
        <v>1</v>
      </c>
    </row>
    <row r="803" spans="1:2" x14ac:dyDescent="0.25">
      <c r="A803" s="91" t="s">
        <v>638</v>
      </c>
      <c r="B803" s="2">
        <f t="shared" si="12"/>
        <v>1</v>
      </c>
    </row>
    <row r="804" spans="1:2" x14ac:dyDescent="0.25">
      <c r="A804" s="68" t="s">
        <v>639</v>
      </c>
      <c r="B804" s="2">
        <f t="shared" si="12"/>
        <v>1</v>
      </c>
    </row>
    <row r="805" spans="1:2" x14ac:dyDescent="0.25">
      <c r="A805" s="68" t="s">
        <v>640</v>
      </c>
      <c r="B805" s="2">
        <f t="shared" si="12"/>
        <v>1</v>
      </c>
    </row>
    <row r="806" spans="1:2" ht="15.75" x14ac:dyDescent="0.25">
      <c r="A806" s="71" t="s">
        <v>617</v>
      </c>
      <c r="B806" s="2">
        <f t="shared" si="12"/>
        <v>1</v>
      </c>
    </row>
    <row r="807" spans="1:2" x14ac:dyDescent="0.25">
      <c r="A807" s="91" t="s">
        <v>641</v>
      </c>
      <c r="B807" s="2">
        <f t="shared" si="12"/>
        <v>1</v>
      </c>
    </row>
    <row r="808" spans="1:2" ht="15.75" x14ac:dyDescent="0.25">
      <c r="A808" s="70" t="s">
        <v>645</v>
      </c>
      <c r="B808" s="2">
        <f t="shared" si="12"/>
        <v>1</v>
      </c>
    </row>
    <row r="809" spans="1:2" ht="15.75" x14ac:dyDescent="0.25">
      <c r="A809" s="69" t="s">
        <v>54</v>
      </c>
      <c r="B809" s="2">
        <f t="shared" si="12"/>
        <v>5</v>
      </c>
    </row>
    <row r="810" spans="1:2" ht="15.75" x14ac:dyDescent="0.25">
      <c r="A810" s="70" t="s">
        <v>646</v>
      </c>
      <c r="B810" s="2">
        <f t="shared" si="12"/>
        <v>1</v>
      </c>
    </row>
    <row r="811" spans="1:2" ht="15.75" x14ac:dyDescent="0.25">
      <c r="A811" s="70" t="s">
        <v>710</v>
      </c>
      <c r="B811" s="2">
        <f t="shared" si="12"/>
        <v>1</v>
      </c>
    </row>
    <row r="812" spans="1:2" ht="15.75" x14ac:dyDescent="0.25">
      <c r="A812" s="70" t="s">
        <v>647</v>
      </c>
      <c r="B812" s="2">
        <f t="shared" si="12"/>
        <v>1</v>
      </c>
    </row>
    <row r="813" spans="1:2" ht="15.75" x14ac:dyDescent="0.25">
      <c r="A813" s="70" t="s">
        <v>711</v>
      </c>
      <c r="B813" s="2">
        <f t="shared" si="12"/>
        <v>1</v>
      </c>
    </row>
    <row r="814" spans="1:2" ht="15.75" x14ac:dyDescent="0.25">
      <c r="A814" s="75" t="s">
        <v>648</v>
      </c>
      <c r="B814" s="2">
        <f t="shared" si="12"/>
        <v>1</v>
      </c>
    </row>
    <row r="815" spans="1:2" ht="30.75" x14ac:dyDescent="0.25">
      <c r="A815" s="69" t="s">
        <v>712</v>
      </c>
      <c r="B815" s="2">
        <f t="shared" si="12"/>
        <v>1</v>
      </c>
    </row>
    <row r="816" spans="1:2" ht="15.75" x14ac:dyDescent="0.25">
      <c r="A816" s="76" t="s">
        <v>57</v>
      </c>
      <c r="B816" s="2">
        <f t="shared" si="12"/>
        <v>2</v>
      </c>
    </row>
    <row r="817" spans="1:2" ht="15.75" x14ac:dyDescent="0.25">
      <c r="A817" s="70" t="s">
        <v>649</v>
      </c>
      <c r="B817" s="2">
        <f t="shared" si="12"/>
        <v>1</v>
      </c>
    </row>
    <row r="818" spans="1:2" ht="30.75" x14ac:dyDescent="0.25">
      <c r="A818" s="69" t="s">
        <v>713</v>
      </c>
      <c r="B818" s="2">
        <f t="shared" si="12"/>
        <v>1</v>
      </c>
    </row>
    <row r="819" spans="1:2" ht="45.75" x14ac:dyDescent="0.25">
      <c r="A819" s="70" t="s">
        <v>650</v>
      </c>
      <c r="B819" s="2">
        <f t="shared" si="12"/>
        <v>1</v>
      </c>
    </row>
    <row r="820" spans="1:2" ht="15.75" x14ac:dyDescent="0.25">
      <c r="A820" s="70" t="s">
        <v>224</v>
      </c>
      <c r="B820" s="2">
        <f t="shared" si="12"/>
        <v>2</v>
      </c>
    </row>
    <row r="821" spans="1:2" ht="15.75" x14ac:dyDescent="0.25">
      <c r="A821" s="70" t="s">
        <v>226</v>
      </c>
      <c r="B821" s="2">
        <f t="shared" si="12"/>
        <v>2</v>
      </c>
    </row>
    <row r="822" spans="1:2" ht="15.75" x14ac:dyDescent="0.25">
      <c r="A822" s="69" t="s">
        <v>651</v>
      </c>
      <c r="B822" s="2">
        <f t="shared" si="12"/>
        <v>1</v>
      </c>
    </row>
    <row r="823" spans="1:2" ht="15.75" x14ac:dyDescent="0.25">
      <c r="A823" s="71" t="s">
        <v>107</v>
      </c>
      <c r="B823" s="2">
        <f t="shared" si="12"/>
        <v>2</v>
      </c>
    </row>
    <row r="824" spans="1:2" ht="15.75" x14ac:dyDescent="0.25">
      <c r="A824" s="72" t="s">
        <v>181</v>
      </c>
      <c r="B824" s="2">
        <f t="shared" si="12"/>
        <v>5</v>
      </c>
    </row>
    <row r="825" spans="1:2" ht="15.75" x14ac:dyDescent="0.25">
      <c r="A825" s="70" t="s">
        <v>714</v>
      </c>
      <c r="B825" s="2">
        <f t="shared" si="12"/>
        <v>1</v>
      </c>
    </row>
    <row r="826" spans="1:2" ht="15.75" x14ac:dyDescent="0.25">
      <c r="A826" s="70" t="s">
        <v>652</v>
      </c>
      <c r="B826" s="2">
        <f t="shared" si="12"/>
        <v>1</v>
      </c>
    </row>
    <row r="827" spans="1:2" ht="30.75" x14ac:dyDescent="0.25">
      <c r="A827" s="70" t="s">
        <v>653</v>
      </c>
      <c r="B827" s="2">
        <f t="shared" si="12"/>
        <v>1</v>
      </c>
    </row>
    <row r="828" spans="1:2" ht="15.75" x14ac:dyDescent="0.25">
      <c r="A828" s="70" t="s">
        <v>499</v>
      </c>
      <c r="B828" s="2">
        <f t="shared" si="12"/>
        <v>2</v>
      </c>
    </row>
    <row r="829" spans="1:2" ht="15.75" x14ac:dyDescent="0.25">
      <c r="A829" s="69" t="s">
        <v>654</v>
      </c>
      <c r="B829" s="2">
        <f t="shared" si="12"/>
        <v>1</v>
      </c>
    </row>
    <row r="830" spans="1:2" ht="15.75" x14ac:dyDescent="0.25">
      <c r="A830" s="92" t="s">
        <v>231</v>
      </c>
      <c r="B830" s="2">
        <f t="shared" si="12"/>
        <v>2</v>
      </c>
    </row>
    <row r="831" spans="1:2" ht="15.75" x14ac:dyDescent="0.25">
      <c r="A831" s="70" t="s">
        <v>655</v>
      </c>
      <c r="B831" s="2">
        <f t="shared" si="12"/>
        <v>1</v>
      </c>
    </row>
    <row r="832" spans="1:2" ht="15.75" x14ac:dyDescent="0.25">
      <c r="A832" s="70" t="s">
        <v>656</v>
      </c>
      <c r="B832" s="2">
        <f t="shared" si="12"/>
        <v>1</v>
      </c>
    </row>
    <row r="833" spans="1:2" ht="15.75" x14ac:dyDescent="0.25">
      <c r="A833" s="69" t="s">
        <v>657</v>
      </c>
      <c r="B833" s="2">
        <f t="shared" si="12"/>
        <v>2</v>
      </c>
    </row>
    <row r="834" spans="1:2" ht="15.75" x14ac:dyDescent="0.25">
      <c r="A834" s="70" t="s">
        <v>658</v>
      </c>
      <c r="B834" s="2">
        <f t="shared" si="12"/>
        <v>2</v>
      </c>
    </row>
    <row r="835" spans="1:2" ht="30.75" x14ac:dyDescent="0.25">
      <c r="A835" s="76" t="s">
        <v>564</v>
      </c>
      <c r="B835" s="2">
        <f t="shared" ref="B835:B898" si="13">COUNTIF($A:$A,A835)</f>
        <v>2</v>
      </c>
    </row>
    <row r="836" spans="1:2" ht="15.75" x14ac:dyDescent="0.25">
      <c r="A836" s="70" t="s">
        <v>20</v>
      </c>
      <c r="B836" s="2">
        <f t="shared" si="13"/>
        <v>2</v>
      </c>
    </row>
    <row r="837" spans="1:2" ht="15.75" x14ac:dyDescent="0.25">
      <c r="A837" s="75" t="s">
        <v>659</v>
      </c>
      <c r="B837" s="2">
        <f t="shared" si="13"/>
        <v>1</v>
      </c>
    </row>
    <row r="838" spans="1:2" ht="15.75" x14ac:dyDescent="0.25">
      <c r="A838" s="70" t="s">
        <v>660</v>
      </c>
      <c r="B838" s="2">
        <f t="shared" si="13"/>
        <v>1</v>
      </c>
    </row>
    <row r="839" spans="1:2" ht="30.75" x14ac:dyDescent="0.25">
      <c r="A839" s="70" t="s">
        <v>63</v>
      </c>
      <c r="B839" s="2">
        <f t="shared" si="13"/>
        <v>2</v>
      </c>
    </row>
    <row r="840" spans="1:2" ht="15.75" x14ac:dyDescent="0.25">
      <c r="A840" s="69" t="s">
        <v>661</v>
      </c>
      <c r="B840" s="2">
        <f t="shared" si="13"/>
        <v>1</v>
      </c>
    </row>
    <row r="841" spans="1:2" ht="15.75" x14ac:dyDescent="0.25">
      <c r="A841" s="70" t="s">
        <v>571</v>
      </c>
      <c r="B841" s="2">
        <f t="shared" si="13"/>
        <v>2</v>
      </c>
    </row>
    <row r="842" spans="1:2" ht="15.75" x14ac:dyDescent="0.25">
      <c r="A842" s="70" t="s">
        <v>715</v>
      </c>
      <c r="B842" s="2">
        <f t="shared" si="13"/>
        <v>1</v>
      </c>
    </row>
    <row r="843" spans="1:2" ht="15.75" x14ac:dyDescent="0.25">
      <c r="A843" s="70" t="s">
        <v>662</v>
      </c>
      <c r="B843" s="2">
        <f t="shared" si="13"/>
        <v>1</v>
      </c>
    </row>
    <row r="844" spans="1:2" ht="15.75" x14ac:dyDescent="0.25">
      <c r="A844" s="72" t="s">
        <v>627</v>
      </c>
      <c r="B844" s="2">
        <f t="shared" si="13"/>
        <v>2</v>
      </c>
    </row>
    <row r="845" spans="1:2" ht="15.75" x14ac:dyDescent="0.25">
      <c r="A845" s="76" t="s">
        <v>382</v>
      </c>
      <c r="B845" s="2">
        <f t="shared" si="13"/>
        <v>3</v>
      </c>
    </row>
    <row r="846" spans="1:2" ht="15.75" x14ac:dyDescent="0.25">
      <c r="A846" s="70" t="s">
        <v>663</v>
      </c>
      <c r="B846" s="2">
        <f t="shared" si="13"/>
        <v>1</v>
      </c>
    </row>
    <row r="847" spans="1:2" ht="15.75" x14ac:dyDescent="0.25">
      <c r="A847" s="70" t="s">
        <v>664</v>
      </c>
      <c r="B847" s="2">
        <f t="shared" si="13"/>
        <v>1</v>
      </c>
    </row>
    <row r="848" spans="1:2" ht="30.75" x14ac:dyDescent="0.25">
      <c r="A848" s="70" t="s">
        <v>578</v>
      </c>
      <c r="B848" s="2">
        <f t="shared" si="13"/>
        <v>2</v>
      </c>
    </row>
    <row r="849" spans="1:2" ht="15.75" x14ac:dyDescent="0.25">
      <c r="A849" s="75" t="s">
        <v>716</v>
      </c>
      <c r="B849" s="2">
        <f t="shared" si="13"/>
        <v>1</v>
      </c>
    </row>
    <row r="850" spans="1:2" ht="15.75" x14ac:dyDescent="0.25">
      <c r="A850" s="75" t="s">
        <v>255</v>
      </c>
      <c r="B850" s="2">
        <f t="shared" si="13"/>
        <v>2</v>
      </c>
    </row>
    <row r="851" spans="1:2" ht="30.75" x14ac:dyDescent="0.25">
      <c r="A851" s="69" t="s">
        <v>665</v>
      </c>
      <c r="B851" s="2">
        <f t="shared" si="13"/>
        <v>1</v>
      </c>
    </row>
    <row r="852" spans="1:2" ht="15.75" x14ac:dyDescent="0.25">
      <c r="A852" s="75" t="s">
        <v>580</v>
      </c>
      <c r="B852" s="2">
        <f t="shared" si="13"/>
        <v>2</v>
      </c>
    </row>
    <row r="853" spans="1:2" ht="15.75" x14ac:dyDescent="0.25">
      <c r="A853" s="69" t="s">
        <v>128</v>
      </c>
      <c r="B853" s="2">
        <f t="shared" si="13"/>
        <v>4</v>
      </c>
    </row>
    <row r="854" spans="1:2" ht="15.75" x14ac:dyDescent="0.25">
      <c r="A854" s="69" t="s">
        <v>717</v>
      </c>
      <c r="B854" s="2">
        <f t="shared" si="13"/>
        <v>1</v>
      </c>
    </row>
    <row r="855" spans="1:2" ht="15.75" x14ac:dyDescent="0.25">
      <c r="A855" s="71" t="s">
        <v>718</v>
      </c>
      <c r="B855" s="2">
        <f t="shared" si="13"/>
        <v>1</v>
      </c>
    </row>
    <row r="856" spans="1:2" ht="15.75" x14ac:dyDescent="0.25">
      <c r="A856" s="70" t="s">
        <v>666</v>
      </c>
      <c r="B856" s="2">
        <f t="shared" si="13"/>
        <v>1</v>
      </c>
    </row>
    <row r="857" spans="1:2" ht="15.75" x14ac:dyDescent="0.25">
      <c r="A857" s="69" t="s">
        <v>719</v>
      </c>
      <c r="B857" s="2">
        <f t="shared" si="13"/>
        <v>1</v>
      </c>
    </row>
    <row r="858" spans="1:2" ht="15.75" x14ac:dyDescent="0.25">
      <c r="A858" s="70" t="s">
        <v>667</v>
      </c>
      <c r="B858" s="2">
        <f t="shared" si="13"/>
        <v>1</v>
      </c>
    </row>
    <row r="859" spans="1:2" ht="30.75" x14ac:dyDescent="0.25">
      <c r="A859" s="75" t="s">
        <v>668</v>
      </c>
      <c r="B859" s="2">
        <f t="shared" si="13"/>
        <v>1</v>
      </c>
    </row>
    <row r="860" spans="1:2" ht="15.75" x14ac:dyDescent="0.25">
      <c r="A860" s="71" t="s">
        <v>669</v>
      </c>
      <c r="B860" s="2">
        <f t="shared" si="13"/>
        <v>1</v>
      </c>
    </row>
    <row r="861" spans="1:2" ht="15.75" x14ac:dyDescent="0.25">
      <c r="A861" s="70" t="s">
        <v>670</v>
      </c>
      <c r="B861" s="2">
        <f t="shared" si="13"/>
        <v>1</v>
      </c>
    </row>
    <row r="862" spans="1:2" ht="15.75" x14ac:dyDescent="0.25">
      <c r="A862" s="70" t="s">
        <v>720</v>
      </c>
      <c r="B862" s="2">
        <f t="shared" si="13"/>
        <v>1</v>
      </c>
    </row>
    <row r="863" spans="1:2" ht="15.75" x14ac:dyDescent="0.25">
      <c r="A863" s="70" t="s">
        <v>721</v>
      </c>
      <c r="B863" s="2">
        <f t="shared" si="13"/>
        <v>1</v>
      </c>
    </row>
    <row r="864" spans="1:2" ht="15.75" x14ac:dyDescent="0.25">
      <c r="A864" s="70" t="s">
        <v>671</v>
      </c>
      <c r="B864" s="2">
        <f t="shared" si="13"/>
        <v>1</v>
      </c>
    </row>
    <row r="865" spans="1:2" ht="15.75" x14ac:dyDescent="0.25">
      <c r="A865" s="70" t="s">
        <v>672</v>
      </c>
      <c r="B865" s="2">
        <f t="shared" si="13"/>
        <v>1</v>
      </c>
    </row>
    <row r="866" spans="1:2" ht="15.75" x14ac:dyDescent="0.25">
      <c r="A866" s="70" t="s">
        <v>673</v>
      </c>
      <c r="B866" s="2">
        <f t="shared" si="13"/>
        <v>1</v>
      </c>
    </row>
    <row r="867" spans="1:2" ht="15.75" x14ac:dyDescent="0.25">
      <c r="A867" s="70" t="s">
        <v>471</v>
      </c>
      <c r="B867" s="2">
        <f t="shared" si="13"/>
        <v>3</v>
      </c>
    </row>
    <row r="868" spans="1:2" ht="15.75" x14ac:dyDescent="0.25">
      <c r="A868" s="70" t="s">
        <v>674</v>
      </c>
      <c r="B868" s="2">
        <f t="shared" si="13"/>
        <v>1</v>
      </c>
    </row>
    <row r="869" spans="1:2" ht="15.75" x14ac:dyDescent="0.25">
      <c r="A869" s="69" t="s">
        <v>588</v>
      </c>
      <c r="B869" s="2">
        <f t="shared" si="13"/>
        <v>2</v>
      </c>
    </row>
    <row r="870" spans="1:2" ht="15.75" x14ac:dyDescent="0.25">
      <c r="A870" s="70" t="s">
        <v>722</v>
      </c>
      <c r="B870" s="2">
        <f t="shared" si="13"/>
        <v>1</v>
      </c>
    </row>
    <row r="871" spans="1:2" ht="30.75" x14ac:dyDescent="0.25">
      <c r="A871" s="76" t="s">
        <v>675</v>
      </c>
      <c r="B871" s="2">
        <f t="shared" si="13"/>
        <v>2</v>
      </c>
    </row>
    <row r="872" spans="1:2" ht="30.75" x14ac:dyDescent="0.25">
      <c r="A872" s="76" t="s">
        <v>676</v>
      </c>
      <c r="B872" s="2">
        <f t="shared" si="13"/>
        <v>1</v>
      </c>
    </row>
    <row r="873" spans="1:2" ht="15.75" x14ac:dyDescent="0.25">
      <c r="A873" s="69" t="s">
        <v>723</v>
      </c>
      <c r="B873" s="2">
        <f t="shared" si="13"/>
        <v>1</v>
      </c>
    </row>
    <row r="874" spans="1:2" ht="15.75" x14ac:dyDescent="0.25">
      <c r="A874" s="69" t="s">
        <v>677</v>
      </c>
      <c r="B874" s="2">
        <f t="shared" si="13"/>
        <v>1</v>
      </c>
    </row>
    <row r="875" spans="1:2" ht="15.75" x14ac:dyDescent="0.25">
      <c r="A875" s="70" t="s">
        <v>678</v>
      </c>
      <c r="B875" s="2">
        <f t="shared" si="13"/>
        <v>1</v>
      </c>
    </row>
    <row r="876" spans="1:2" ht="30.75" x14ac:dyDescent="0.25">
      <c r="A876" s="69" t="s">
        <v>679</v>
      </c>
      <c r="B876" s="2">
        <f t="shared" si="13"/>
        <v>1</v>
      </c>
    </row>
    <row r="877" spans="1:2" ht="30.75" x14ac:dyDescent="0.25">
      <c r="A877" s="70" t="s">
        <v>680</v>
      </c>
      <c r="B877" s="2">
        <f t="shared" si="13"/>
        <v>1</v>
      </c>
    </row>
    <row r="878" spans="1:2" ht="15.75" x14ac:dyDescent="0.25">
      <c r="A878" s="70" t="s">
        <v>681</v>
      </c>
      <c r="B878" s="2">
        <f t="shared" si="13"/>
        <v>1</v>
      </c>
    </row>
    <row r="879" spans="1:2" ht="15.75" x14ac:dyDescent="0.25">
      <c r="A879" s="69" t="s">
        <v>682</v>
      </c>
      <c r="B879" s="2">
        <f t="shared" si="13"/>
        <v>1</v>
      </c>
    </row>
    <row r="880" spans="1:2" ht="15.75" x14ac:dyDescent="0.25">
      <c r="A880" s="69" t="s">
        <v>683</v>
      </c>
      <c r="B880" s="2">
        <f t="shared" si="13"/>
        <v>1</v>
      </c>
    </row>
    <row r="881" spans="1:2" ht="30.75" x14ac:dyDescent="0.25">
      <c r="A881" s="75" t="s">
        <v>684</v>
      </c>
      <c r="B881" s="2">
        <f t="shared" si="13"/>
        <v>1</v>
      </c>
    </row>
    <row r="882" spans="1:2" ht="15.75" x14ac:dyDescent="0.25">
      <c r="A882" s="70" t="s">
        <v>685</v>
      </c>
      <c r="B882" s="2">
        <f t="shared" si="13"/>
        <v>1</v>
      </c>
    </row>
    <row r="883" spans="1:2" ht="15.75" x14ac:dyDescent="0.25">
      <c r="A883" s="69" t="s">
        <v>686</v>
      </c>
      <c r="B883" s="2">
        <f t="shared" si="13"/>
        <v>1</v>
      </c>
    </row>
    <row r="884" spans="1:2" ht="15.75" x14ac:dyDescent="0.25">
      <c r="A884" s="69" t="s">
        <v>280</v>
      </c>
      <c r="B884" s="2">
        <f t="shared" si="13"/>
        <v>2</v>
      </c>
    </row>
    <row r="885" spans="1:2" ht="15.75" x14ac:dyDescent="0.25">
      <c r="A885" s="69" t="s">
        <v>724</v>
      </c>
      <c r="B885" s="2">
        <f t="shared" si="13"/>
        <v>1</v>
      </c>
    </row>
    <row r="886" spans="1:2" ht="15.75" x14ac:dyDescent="0.25">
      <c r="A886" s="70" t="s">
        <v>406</v>
      </c>
      <c r="B886" s="2">
        <f t="shared" si="13"/>
        <v>2</v>
      </c>
    </row>
    <row r="887" spans="1:2" ht="15.75" x14ac:dyDescent="0.25">
      <c r="A887" s="70" t="s">
        <v>687</v>
      </c>
      <c r="B887" s="2">
        <f t="shared" si="13"/>
        <v>1</v>
      </c>
    </row>
    <row r="888" spans="1:2" ht="15.75" x14ac:dyDescent="0.25">
      <c r="A888" s="76" t="s">
        <v>146</v>
      </c>
      <c r="B888" s="2">
        <f t="shared" si="13"/>
        <v>3</v>
      </c>
    </row>
    <row r="889" spans="1:2" ht="15.75" x14ac:dyDescent="0.25">
      <c r="A889" s="70" t="s">
        <v>438</v>
      </c>
      <c r="B889" s="2">
        <f t="shared" si="13"/>
        <v>2</v>
      </c>
    </row>
    <row r="890" spans="1:2" ht="15.75" x14ac:dyDescent="0.25">
      <c r="A890" s="70" t="s">
        <v>688</v>
      </c>
      <c r="B890" s="2">
        <f t="shared" si="13"/>
        <v>1</v>
      </c>
    </row>
    <row r="891" spans="1:2" ht="15.75" x14ac:dyDescent="0.25">
      <c r="A891" s="69" t="s">
        <v>689</v>
      </c>
      <c r="B891" s="2">
        <f t="shared" si="13"/>
        <v>1</v>
      </c>
    </row>
    <row r="892" spans="1:2" ht="15.75" x14ac:dyDescent="0.25">
      <c r="A892" s="75" t="s">
        <v>690</v>
      </c>
      <c r="B892" s="2">
        <f t="shared" si="13"/>
        <v>1</v>
      </c>
    </row>
    <row r="893" spans="1:2" ht="30.75" x14ac:dyDescent="0.25">
      <c r="A893" s="70" t="s">
        <v>691</v>
      </c>
      <c r="B893" s="2">
        <f t="shared" si="13"/>
        <v>1</v>
      </c>
    </row>
    <row r="894" spans="1:2" ht="30.75" x14ac:dyDescent="0.25">
      <c r="A894" s="69" t="s">
        <v>692</v>
      </c>
      <c r="B894" s="2">
        <f t="shared" si="13"/>
        <v>1</v>
      </c>
    </row>
    <row r="895" spans="1:2" ht="15.75" x14ac:dyDescent="0.25">
      <c r="A895" s="69" t="s">
        <v>693</v>
      </c>
      <c r="B895" s="2">
        <f t="shared" si="13"/>
        <v>1</v>
      </c>
    </row>
    <row r="896" spans="1:2" ht="15.75" x14ac:dyDescent="0.25">
      <c r="A896" s="70" t="s">
        <v>725</v>
      </c>
      <c r="B896" s="2">
        <f t="shared" si="13"/>
        <v>1</v>
      </c>
    </row>
    <row r="897" spans="1:2" ht="15.75" x14ac:dyDescent="0.25">
      <c r="A897" s="70" t="s">
        <v>694</v>
      </c>
      <c r="B897" s="2">
        <f t="shared" si="13"/>
        <v>1</v>
      </c>
    </row>
    <row r="898" spans="1:2" ht="15.75" x14ac:dyDescent="0.25">
      <c r="A898" s="70" t="s">
        <v>695</v>
      </c>
      <c r="B898" s="2">
        <f t="shared" si="13"/>
        <v>1</v>
      </c>
    </row>
    <row r="899" spans="1:2" ht="15.75" x14ac:dyDescent="0.25">
      <c r="A899" s="69" t="s">
        <v>696</v>
      </c>
      <c r="B899" s="2">
        <f t="shared" ref="B899:B920" si="14">COUNTIF($A:$A,A899)</f>
        <v>1</v>
      </c>
    </row>
    <row r="900" spans="1:2" ht="15.75" x14ac:dyDescent="0.25">
      <c r="A900" s="70" t="s">
        <v>697</v>
      </c>
      <c r="B900" s="2">
        <f t="shared" si="14"/>
        <v>2</v>
      </c>
    </row>
    <row r="901" spans="1:2" ht="15.75" x14ac:dyDescent="0.25">
      <c r="A901" s="70" t="s">
        <v>698</v>
      </c>
      <c r="B901" s="2">
        <f t="shared" si="14"/>
        <v>1</v>
      </c>
    </row>
    <row r="902" spans="1:2" ht="15.75" x14ac:dyDescent="0.25">
      <c r="A902" s="92" t="s">
        <v>699</v>
      </c>
      <c r="B902" s="2">
        <f t="shared" si="14"/>
        <v>1</v>
      </c>
    </row>
    <row r="903" spans="1:2" ht="15.75" x14ac:dyDescent="0.25">
      <c r="A903" s="71" t="s">
        <v>154</v>
      </c>
      <c r="B903" s="2">
        <f t="shared" si="14"/>
        <v>2</v>
      </c>
    </row>
    <row r="904" spans="1:2" ht="15.75" x14ac:dyDescent="0.25">
      <c r="A904" s="70" t="s">
        <v>700</v>
      </c>
      <c r="B904" s="2">
        <f t="shared" si="14"/>
        <v>1</v>
      </c>
    </row>
    <row r="905" spans="1:2" ht="30.75" x14ac:dyDescent="0.25">
      <c r="A905" s="70" t="s">
        <v>726</v>
      </c>
      <c r="B905" s="2">
        <f t="shared" si="14"/>
        <v>1</v>
      </c>
    </row>
    <row r="906" spans="1:2" ht="15.75" x14ac:dyDescent="0.25">
      <c r="A906" s="69" t="s">
        <v>727</v>
      </c>
      <c r="B906" s="2">
        <f t="shared" si="14"/>
        <v>1</v>
      </c>
    </row>
    <row r="907" spans="1:2" ht="15.75" x14ac:dyDescent="0.25">
      <c r="A907" s="70" t="s">
        <v>701</v>
      </c>
      <c r="B907" s="2">
        <f t="shared" si="14"/>
        <v>1</v>
      </c>
    </row>
    <row r="908" spans="1:2" ht="30.75" x14ac:dyDescent="0.25">
      <c r="A908" s="71" t="s">
        <v>702</v>
      </c>
      <c r="B908" s="2">
        <f t="shared" si="14"/>
        <v>1</v>
      </c>
    </row>
    <row r="909" spans="1:2" ht="15.75" x14ac:dyDescent="0.25">
      <c r="A909" s="69" t="s">
        <v>703</v>
      </c>
      <c r="B909" s="2">
        <f t="shared" si="14"/>
        <v>1</v>
      </c>
    </row>
    <row r="910" spans="1:2" ht="15.75" x14ac:dyDescent="0.25">
      <c r="A910" s="70" t="s">
        <v>728</v>
      </c>
      <c r="B910" s="2">
        <f t="shared" si="14"/>
        <v>1</v>
      </c>
    </row>
    <row r="911" spans="1:2" ht="15.75" x14ac:dyDescent="0.25">
      <c r="A911" s="76" t="s">
        <v>445</v>
      </c>
      <c r="B911" s="2">
        <f t="shared" si="14"/>
        <v>2</v>
      </c>
    </row>
    <row r="912" spans="1:2" ht="15.75" x14ac:dyDescent="0.25">
      <c r="A912" s="70" t="s">
        <v>729</v>
      </c>
      <c r="B912" s="2">
        <f t="shared" si="14"/>
        <v>1</v>
      </c>
    </row>
    <row r="913" spans="1:2" ht="15.75" x14ac:dyDescent="0.25">
      <c r="A913" s="70" t="s">
        <v>704</v>
      </c>
      <c r="B913" s="2">
        <f t="shared" si="14"/>
        <v>1</v>
      </c>
    </row>
    <row r="914" spans="1:2" ht="30.75" x14ac:dyDescent="0.25">
      <c r="A914" s="69" t="s">
        <v>94</v>
      </c>
      <c r="B914" s="2">
        <f t="shared" si="14"/>
        <v>7</v>
      </c>
    </row>
    <row r="915" spans="1:2" ht="15.75" x14ac:dyDescent="0.25">
      <c r="A915" s="75" t="s">
        <v>705</v>
      </c>
      <c r="B915" s="2">
        <f t="shared" si="14"/>
        <v>1</v>
      </c>
    </row>
    <row r="916" spans="1:2" ht="15.75" x14ac:dyDescent="0.25">
      <c r="A916" s="69" t="s">
        <v>706</v>
      </c>
      <c r="B916" s="2">
        <f t="shared" si="14"/>
        <v>1</v>
      </c>
    </row>
    <row r="917" spans="1:2" ht="15.75" x14ac:dyDescent="0.25">
      <c r="A917" s="70" t="s">
        <v>707</v>
      </c>
      <c r="B917" s="2">
        <f t="shared" si="14"/>
        <v>1</v>
      </c>
    </row>
    <row r="918" spans="1:2" ht="15.75" x14ac:dyDescent="0.25">
      <c r="A918" s="70" t="s">
        <v>708</v>
      </c>
      <c r="B918" s="2">
        <f t="shared" si="14"/>
        <v>1</v>
      </c>
    </row>
    <row r="919" spans="1:2" ht="15.75" x14ac:dyDescent="0.25">
      <c r="A919" s="70" t="s">
        <v>709</v>
      </c>
      <c r="B919" s="2">
        <f t="shared" si="14"/>
        <v>1</v>
      </c>
    </row>
    <row r="920" spans="1:2" ht="15.75" x14ac:dyDescent="0.25">
      <c r="A920" s="70" t="s">
        <v>486</v>
      </c>
      <c r="B920" s="2">
        <f t="shared" si="14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GSLM 11-2025</vt:lpstr>
      <vt:lpstr>GSLS 03-2025</vt:lpstr>
      <vt:lpstr>GSLS 05-2024</vt:lpstr>
      <vt:lpstr>GSLM 11-2024</vt:lpstr>
      <vt:lpstr>GSLS 03-2023</vt:lpstr>
      <vt:lpstr>GSLM 11-2023</vt:lpstr>
      <vt:lpstr>GSLM 11-2022</vt:lpstr>
      <vt:lpstr>UNIONE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Rocchetto</dc:creator>
  <cp:lastModifiedBy>Matteo Rocchetto</cp:lastModifiedBy>
  <dcterms:created xsi:type="dcterms:W3CDTF">2026-02-24T13:19:37Z</dcterms:created>
  <dcterms:modified xsi:type="dcterms:W3CDTF">2026-03-03T13:59:11Z</dcterms:modified>
</cp:coreProperties>
</file>